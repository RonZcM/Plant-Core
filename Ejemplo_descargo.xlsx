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RALITA\Desktop\Venta local\Año 2025\"/>
    </mc:Choice>
  </mc:AlternateContent>
  <xr:revisionPtr revIDLastSave="0" documentId="8_{3AAF63F9-9FAD-5C4D-BD1C-758DE92C7B76}" xr6:coauthVersionLast="47" xr6:coauthVersionMax="47" xr10:uidLastSave="{00000000-0000-0000-0000-000000000000}"/>
  <bookViews>
    <workbookView xWindow="0" yWindow="60" windowWidth="20490" windowHeight="7695" activeTab="2" xr2:uid="{00000000-000D-0000-FFFF-FFFF00000000}"/>
  </bookViews>
  <sheets>
    <sheet name="Bitácora" sheetId="1" r:id="rId1"/>
    <sheet name="Producción" sheetId="2" r:id="rId2"/>
    <sheet name="Descargo" sheetId="3" r:id="rId3"/>
    <sheet name="Cambio de presentación" sheetId="4" r:id="rId4"/>
    <sheet name="Campo" sheetId="5" r:id="rId5"/>
    <sheet name="Hoja1" sheetId="6" r:id="rId6"/>
  </sheets>
  <definedNames>
    <definedName name="_xlnm._FilterDatabase" localSheetId="3" hidden="1">'Cambio de presentación'!$A$2:$H$50</definedName>
    <definedName name="_xlnm._FilterDatabase" localSheetId="4" hidden="1">Campo!$A$2:$F$49</definedName>
    <definedName name="_xlnm._FilterDatabase" localSheetId="2" hidden="1">Descargo!$A$2:$F$52</definedName>
    <definedName name="_xlnm._FilterDatabase" localSheetId="1" hidden="1">Producción!$A$2:$J$51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B4" i="2"/>
  <c r="Q6" i="1"/>
  <c r="C4" i="2"/>
  <c r="D4" i="2"/>
  <c r="E4" i="2"/>
  <c r="F4" i="2"/>
  <c r="G4" i="2"/>
  <c r="H4" i="2"/>
  <c r="I4" i="2"/>
  <c r="J4" i="2"/>
  <c r="A5" i="2"/>
  <c r="B5" i="2"/>
  <c r="Q7" i="1"/>
  <c r="C5" i="2"/>
  <c r="D5" i="2"/>
  <c r="E5" i="2"/>
  <c r="F5" i="2"/>
  <c r="G5" i="2"/>
  <c r="H5" i="2"/>
  <c r="I5" i="2"/>
  <c r="J5" i="2"/>
  <c r="A6" i="2"/>
  <c r="B6" i="2"/>
  <c r="Q8" i="1"/>
  <c r="C6" i="2"/>
  <c r="D6" i="2"/>
  <c r="E6" i="2"/>
  <c r="F6" i="2"/>
  <c r="G6" i="2"/>
  <c r="H6" i="2"/>
  <c r="I6" i="2"/>
  <c r="J6" i="2"/>
  <c r="A7" i="2"/>
  <c r="B7" i="2"/>
  <c r="Q9" i="1"/>
  <c r="C7" i="2"/>
  <c r="D7" i="2"/>
  <c r="E7" i="2"/>
  <c r="F7" i="2"/>
  <c r="G7" i="2"/>
  <c r="H7" i="2"/>
  <c r="I7" i="2"/>
  <c r="J7" i="2"/>
  <c r="A8" i="2"/>
  <c r="B8" i="2"/>
  <c r="Q10" i="1"/>
  <c r="C8" i="2"/>
  <c r="D8" i="2"/>
  <c r="E8" i="2"/>
  <c r="F8" i="2"/>
  <c r="G8" i="2"/>
  <c r="H8" i="2"/>
  <c r="I8" i="2"/>
  <c r="J8" i="2"/>
  <c r="A9" i="2"/>
  <c r="B9" i="2"/>
  <c r="Q11" i="1"/>
  <c r="C9" i="2"/>
  <c r="D9" i="2"/>
  <c r="E9" i="2"/>
  <c r="F9" i="2"/>
  <c r="G9" i="2"/>
  <c r="H9" i="2"/>
  <c r="I9" i="2"/>
  <c r="J9" i="2"/>
  <c r="A10" i="2"/>
  <c r="B10" i="2"/>
  <c r="Q12" i="1"/>
  <c r="C10" i="2"/>
  <c r="D10" i="2"/>
  <c r="E10" i="2"/>
  <c r="F10" i="2"/>
  <c r="G10" i="2"/>
  <c r="H10" i="2"/>
  <c r="I10" i="2"/>
  <c r="J10" i="2"/>
  <c r="A11" i="2"/>
  <c r="B11" i="2"/>
  <c r="Q13" i="1"/>
  <c r="C11" i="2"/>
  <c r="D11" i="2"/>
  <c r="E11" i="2"/>
  <c r="F11" i="2"/>
  <c r="G11" i="2"/>
  <c r="H11" i="2"/>
  <c r="I11" i="2"/>
  <c r="J11" i="2"/>
  <c r="A12" i="2"/>
  <c r="B12" i="2"/>
  <c r="Q14" i="1"/>
  <c r="C12" i="2"/>
  <c r="D12" i="2"/>
  <c r="E12" i="2"/>
  <c r="F12" i="2"/>
  <c r="G12" i="2"/>
  <c r="H12" i="2"/>
  <c r="I12" i="2"/>
  <c r="J12" i="2"/>
  <c r="A13" i="2"/>
  <c r="B13" i="2"/>
  <c r="Q15" i="1"/>
  <c r="C13" i="2"/>
  <c r="D13" i="2"/>
  <c r="E13" i="2"/>
  <c r="F13" i="2"/>
  <c r="G13" i="2"/>
  <c r="H13" i="2"/>
  <c r="I13" i="2"/>
  <c r="J13" i="2"/>
  <c r="A14" i="2"/>
  <c r="B14" i="2"/>
  <c r="Q16" i="1"/>
  <c r="C14" i="2"/>
  <c r="D14" i="2"/>
  <c r="E14" i="2"/>
  <c r="F14" i="2"/>
  <c r="G14" i="2"/>
  <c r="H14" i="2"/>
  <c r="I14" i="2"/>
  <c r="J14" i="2"/>
  <c r="A15" i="2"/>
  <c r="B15" i="2"/>
  <c r="Q17" i="1"/>
  <c r="C15" i="2"/>
  <c r="D15" i="2"/>
  <c r="E15" i="2"/>
  <c r="F15" i="2"/>
  <c r="G15" i="2"/>
  <c r="H15" i="2"/>
  <c r="I15" i="2"/>
  <c r="J15" i="2"/>
  <c r="A16" i="2"/>
  <c r="B16" i="2"/>
  <c r="Q18" i="1"/>
  <c r="C16" i="2"/>
  <c r="D16" i="2"/>
  <c r="E16" i="2"/>
  <c r="F16" i="2"/>
  <c r="G16" i="2"/>
  <c r="H16" i="2"/>
  <c r="I16" i="2"/>
  <c r="J16" i="2"/>
  <c r="A17" i="2"/>
  <c r="B17" i="2"/>
  <c r="Q19" i="1"/>
  <c r="C17" i="2"/>
  <c r="D17" i="2"/>
  <c r="E17" i="2"/>
  <c r="F17" i="2"/>
  <c r="G17" i="2"/>
  <c r="H17" i="2"/>
  <c r="I17" i="2"/>
  <c r="J17" i="2"/>
  <c r="A18" i="2"/>
  <c r="B18" i="2"/>
  <c r="Q20" i="1"/>
  <c r="C18" i="2"/>
  <c r="D18" i="2"/>
  <c r="E18" i="2"/>
  <c r="F18" i="2"/>
  <c r="G18" i="2"/>
  <c r="H18" i="2"/>
  <c r="I18" i="2"/>
  <c r="J18" i="2"/>
  <c r="A19" i="2"/>
  <c r="B19" i="2"/>
  <c r="Q21" i="1"/>
  <c r="C19" i="2"/>
  <c r="D19" i="2"/>
  <c r="E19" i="2"/>
  <c r="F19" i="2"/>
  <c r="G19" i="2"/>
  <c r="H19" i="2"/>
  <c r="I19" i="2"/>
  <c r="J19" i="2"/>
  <c r="A20" i="2"/>
  <c r="B20" i="2"/>
  <c r="Q22" i="1"/>
  <c r="C20" i="2"/>
  <c r="D20" i="2"/>
  <c r="E20" i="2"/>
  <c r="F20" i="2"/>
  <c r="G20" i="2"/>
  <c r="H20" i="2"/>
  <c r="I20" i="2"/>
  <c r="J20" i="2"/>
  <c r="A21" i="2"/>
  <c r="B21" i="2"/>
  <c r="Q23" i="1"/>
  <c r="C21" i="2"/>
  <c r="D21" i="2"/>
  <c r="E21" i="2"/>
  <c r="F21" i="2"/>
  <c r="G21" i="2"/>
  <c r="H21" i="2"/>
  <c r="I21" i="2"/>
  <c r="J21" i="2"/>
  <c r="A22" i="2"/>
  <c r="B22" i="2"/>
  <c r="Q24" i="1"/>
  <c r="C22" i="2"/>
  <c r="D22" i="2"/>
  <c r="E22" i="2"/>
  <c r="F22" i="2"/>
  <c r="G22" i="2"/>
  <c r="H22" i="2"/>
  <c r="I22" i="2"/>
  <c r="J22" i="2"/>
  <c r="A23" i="2"/>
  <c r="B23" i="2"/>
  <c r="Q25" i="1"/>
  <c r="C23" i="2"/>
  <c r="D23" i="2"/>
  <c r="E23" i="2"/>
  <c r="F23" i="2"/>
  <c r="G23" i="2"/>
  <c r="H23" i="2"/>
  <c r="I23" i="2"/>
  <c r="J23" i="2"/>
  <c r="A24" i="2"/>
  <c r="B24" i="2"/>
  <c r="Q26" i="1"/>
  <c r="C24" i="2"/>
  <c r="D24" i="2"/>
  <c r="E24" i="2"/>
  <c r="F24" i="2"/>
  <c r="G24" i="2"/>
  <c r="H24" i="2"/>
  <c r="I24" i="2"/>
  <c r="J24" i="2"/>
  <c r="A25" i="2"/>
  <c r="B25" i="2"/>
  <c r="Q27" i="1"/>
  <c r="C25" i="2"/>
  <c r="C27" i="1"/>
  <c r="D25" i="2"/>
  <c r="E25" i="2"/>
  <c r="F25" i="2"/>
  <c r="G25" i="2"/>
  <c r="H25" i="2"/>
  <c r="I25" i="2"/>
  <c r="J25" i="2"/>
  <c r="A26" i="2"/>
  <c r="B26" i="2"/>
  <c r="Q28" i="1"/>
  <c r="C26" i="2"/>
  <c r="D26" i="2"/>
  <c r="E26" i="2"/>
  <c r="F26" i="2"/>
  <c r="G26" i="2"/>
  <c r="H26" i="2"/>
  <c r="I26" i="2"/>
  <c r="J26" i="2"/>
  <c r="A27" i="2"/>
  <c r="B27" i="2"/>
  <c r="Q29" i="1"/>
  <c r="C27" i="2"/>
  <c r="D27" i="2"/>
  <c r="E27" i="2"/>
  <c r="F27" i="2"/>
  <c r="G27" i="2"/>
  <c r="H27" i="2"/>
  <c r="I27" i="2"/>
  <c r="J27" i="2"/>
  <c r="A28" i="2"/>
  <c r="B28" i="2"/>
  <c r="Q30" i="1"/>
  <c r="C28" i="2"/>
  <c r="D28" i="2"/>
  <c r="E28" i="2"/>
  <c r="F28" i="2"/>
  <c r="G28" i="2"/>
  <c r="H28" i="2"/>
  <c r="I28" i="2"/>
  <c r="J28" i="2"/>
  <c r="A29" i="2"/>
  <c r="B29" i="2"/>
  <c r="Q31" i="1"/>
  <c r="C29" i="2"/>
  <c r="D29" i="2"/>
  <c r="E29" i="2"/>
  <c r="F29" i="2"/>
  <c r="G29" i="2"/>
  <c r="H29" i="2"/>
  <c r="I29" i="2"/>
  <c r="J29" i="2"/>
  <c r="A30" i="2"/>
  <c r="B30" i="2"/>
  <c r="Q32" i="1"/>
  <c r="C30" i="2"/>
  <c r="D30" i="2"/>
  <c r="E30" i="2"/>
  <c r="F30" i="2"/>
  <c r="G30" i="2"/>
  <c r="H30" i="2"/>
  <c r="I30" i="2"/>
  <c r="J30" i="2"/>
  <c r="A31" i="2"/>
  <c r="B31" i="2"/>
  <c r="Q33" i="1"/>
  <c r="C31" i="2"/>
  <c r="D31" i="2"/>
  <c r="E31" i="2"/>
  <c r="F31" i="2"/>
  <c r="G31" i="2"/>
  <c r="H31" i="2"/>
  <c r="I31" i="2"/>
  <c r="J31" i="2"/>
  <c r="A32" i="2"/>
  <c r="B32" i="2"/>
  <c r="Q34" i="1"/>
  <c r="C32" i="2"/>
  <c r="D32" i="2"/>
  <c r="E32" i="2"/>
  <c r="F32" i="2"/>
  <c r="G32" i="2"/>
  <c r="H32" i="2"/>
  <c r="I32" i="2"/>
  <c r="J32" i="2"/>
  <c r="A33" i="2"/>
  <c r="B33" i="2"/>
  <c r="Q35" i="1"/>
  <c r="C33" i="2"/>
  <c r="D33" i="2"/>
  <c r="E33" i="2"/>
  <c r="F33" i="2"/>
  <c r="G33" i="2"/>
  <c r="H33" i="2"/>
  <c r="I33" i="2"/>
  <c r="J33" i="2"/>
  <c r="A34" i="2"/>
  <c r="B34" i="2"/>
  <c r="Q36" i="1"/>
  <c r="C34" i="2"/>
  <c r="D34" i="2"/>
  <c r="E34" i="2"/>
  <c r="F34" i="2"/>
  <c r="G34" i="2"/>
  <c r="H34" i="2"/>
  <c r="I34" i="2"/>
  <c r="J34" i="2"/>
  <c r="A35" i="2"/>
  <c r="B35" i="2"/>
  <c r="Q37" i="1"/>
  <c r="C35" i="2"/>
  <c r="D35" i="2"/>
  <c r="E35" i="2"/>
  <c r="F35" i="2"/>
  <c r="G35" i="2"/>
  <c r="H35" i="2"/>
  <c r="I35" i="2"/>
  <c r="J35" i="2"/>
  <c r="A36" i="2"/>
  <c r="B36" i="2"/>
  <c r="Q38" i="1"/>
  <c r="C36" i="2"/>
  <c r="D36" i="2"/>
  <c r="E36" i="2"/>
  <c r="F36" i="2"/>
  <c r="G36" i="2"/>
  <c r="H36" i="2"/>
  <c r="I36" i="2"/>
  <c r="J36" i="2"/>
  <c r="A37" i="2"/>
  <c r="B37" i="2"/>
  <c r="Q39" i="1"/>
  <c r="C37" i="2"/>
  <c r="D37" i="2"/>
  <c r="E37" i="2"/>
  <c r="F37" i="2"/>
  <c r="G37" i="2"/>
  <c r="H37" i="2"/>
  <c r="I37" i="2"/>
  <c r="J37" i="2"/>
  <c r="A38" i="2"/>
  <c r="B38" i="2"/>
  <c r="Q40" i="1"/>
  <c r="C38" i="2"/>
  <c r="D38" i="2"/>
  <c r="E38" i="2"/>
  <c r="F38" i="2"/>
  <c r="G38" i="2"/>
  <c r="H38" i="2"/>
  <c r="I38" i="2"/>
  <c r="J38" i="2"/>
  <c r="A39" i="2"/>
  <c r="B39" i="2"/>
  <c r="Q41" i="1"/>
  <c r="C39" i="2"/>
  <c r="D39" i="2"/>
  <c r="E39" i="2"/>
  <c r="F39" i="2"/>
  <c r="G39" i="2"/>
  <c r="H39" i="2"/>
  <c r="I39" i="2"/>
  <c r="J39" i="2"/>
  <c r="A40" i="2"/>
  <c r="B40" i="2"/>
  <c r="C40" i="2"/>
  <c r="D40" i="2"/>
  <c r="E40" i="2"/>
  <c r="F40" i="2"/>
  <c r="G40" i="2"/>
  <c r="H40" i="2"/>
  <c r="I40" i="2"/>
  <c r="J40" i="2"/>
  <c r="A41" i="2"/>
  <c r="B41" i="2"/>
  <c r="Q43" i="1"/>
  <c r="C41" i="2"/>
  <c r="C43" i="1"/>
  <c r="D41" i="2"/>
  <c r="E41" i="2"/>
  <c r="F41" i="2"/>
  <c r="G41" i="2"/>
  <c r="H41" i="2"/>
  <c r="I41" i="2"/>
  <c r="J41" i="2"/>
  <c r="A42" i="2"/>
  <c r="B42" i="2"/>
  <c r="Q44" i="1"/>
  <c r="C42" i="2"/>
  <c r="C44" i="1"/>
  <c r="D42" i="2"/>
  <c r="E42" i="2"/>
  <c r="F42" i="2"/>
  <c r="G42" i="2"/>
  <c r="H42" i="2"/>
  <c r="I42" i="2"/>
  <c r="J42" i="2"/>
  <c r="A43" i="2"/>
  <c r="B43" i="2"/>
  <c r="Q45" i="1"/>
  <c r="C43" i="2"/>
  <c r="D43" i="2"/>
  <c r="E43" i="2"/>
  <c r="F43" i="2"/>
  <c r="G43" i="2"/>
  <c r="H43" i="2"/>
  <c r="I43" i="2"/>
  <c r="J43" i="2"/>
  <c r="A44" i="2"/>
  <c r="B44" i="2"/>
  <c r="Q46" i="1"/>
  <c r="C44" i="2"/>
  <c r="D44" i="2"/>
  <c r="E44" i="2"/>
  <c r="F44" i="2"/>
  <c r="G44" i="2"/>
  <c r="H44" i="2"/>
  <c r="I44" i="2"/>
  <c r="J44" i="2"/>
  <c r="A45" i="2"/>
  <c r="B45" i="2"/>
  <c r="Q47" i="1"/>
  <c r="C45" i="2"/>
  <c r="D45" i="2"/>
  <c r="E45" i="2"/>
  <c r="F45" i="2"/>
  <c r="G45" i="2"/>
  <c r="H45" i="2"/>
  <c r="I45" i="2"/>
  <c r="J45" i="2"/>
  <c r="A46" i="2"/>
  <c r="B46" i="2"/>
  <c r="Q48" i="1"/>
  <c r="C46" i="2"/>
  <c r="D46" i="2"/>
  <c r="E46" i="2"/>
  <c r="F46" i="2"/>
  <c r="G46" i="2"/>
  <c r="H46" i="2"/>
  <c r="I46" i="2"/>
  <c r="J46" i="2"/>
  <c r="A47" i="2"/>
  <c r="B47" i="2"/>
  <c r="Q49" i="1"/>
  <c r="C47" i="2"/>
  <c r="D47" i="2"/>
  <c r="E47" i="2"/>
  <c r="F47" i="2"/>
  <c r="G47" i="2"/>
  <c r="H47" i="2"/>
  <c r="I47" i="2"/>
  <c r="J47" i="2"/>
  <c r="A48" i="2"/>
  <c r="B48" i="2"/>
  <c r="Q50" i="1"/>
  <c r="C48" i="2"/>
  <c r="D48" i="2"/>
  <c r="E48" i="2"/>
  <c r="F48" i="2"/>
  <c r="G48" i="2"/>
  <c r="H48" i="2"/>
  <c r="I48" i="2"/>
  <c r="J48" i="2"/>
  <c r="A49" i="2"/>
  <c r="B49" i="2"/>
  <c r="Q51" i="1"/>
  <c r="C49" i="2"/>
  <c r="D49" i="2"/>
  <c r="E49" i="2"/>
  <c r="F49" i="2"/>
  <c r="G49" i="2"/>
  <c r="H49" i="2"/>
  <c r="I49" i="2"/>
  <c r="J49" i="2"/>
  <c r="A50" i="2"/>
  <c r="B50" i="2"/>
  <c r="C50" i="2"/>
  <c r="D50" i="2"/>
  <c r="E50" i="2"/>
  <c r="F50" i="2"/>
  <c r="G50" i="2"/>
  <c r="H50" i="2"/>
  <c r="I50" i="2"/>
  <c r="J50" i="2"/>
  <c r="A51" i="2"/>
  <c r="B51" i="2"/>
  <c r="C51" i="2"/>
  <c r="D51" i="2"/>
  <c r="E51" i="2"/>
  <c r="F51" i="2"/>
  <c r="G51" i="2"/>
  <c r="H51" i="2"/>
  <c r="I51" i="2"/>
  <c r="J51" i="2"/>
  <c r="A4" i="5"/>
  <c r="B4" i="5"/>
  <c r="C4" i="5"/>
  <c r="D4" i="5"/>
  <c r="E4" i="5"/>
  <c r="F4" i="5"/>
  <c r="A5" i="5"/>
  <c r="B5" i="5"/>
  <c r="C5" i="5"/>
  <c r="D5" i="5"/>
  <c r="E5" i="5"/>
  <c r="F5" i="5"/>
  <c r="A6" i="5"/>
  <c r="B6" i="5"/>
  <c r="C6" i="5"/>
  <c r="D6" i="5"/>
  <c r="E6" i="5"/>
  <c r="F6" i="5"/>
  <c r="A7" i="5"/>
  <c r="B7" i="5"/>
  <c r="C7" i="5"/>
  <c r="D7" i="5"/>
  <c r="E7" i="5"/>
  <c r="F7" i="5"/>
  <c r="A8" i="5"/>
  <c r="B8" i="5"/>
  <c r="C8" i="5"/>
  <c r="D8" i="5"/>
  <c r="E8" i="5"/>
  <c r="F8" i="5"/>
  <c r="A9" i="5"/>
  <c r="B9" i="5"/>
  <c r="C9" i="5"/>
  <c r="D9" i="5"/>
  <c r="E9" i="5"/>
  <c r="F9" i="5"/>
  <c r="A10" i="5"/>
  <c r="B10" i="5"/>
  <c r="C10" i="5"/>
  <c r="D10" i="5"/>
  <c r="E10" i="5"/>
  <c r="F10" i="5"/>
  <c r="A11" i="5"/>
  <c r="B11" i="5"/>
  <c r="C11" i="5"/>
  <c r="D11" i="5"/>
  <c r="E11" i="5"/>
  <c r="F11" i="5"/>
  <c r="A12" i="5"/>
  <c r="B12" i="5"/>
  <c r="C12" i="5"/>
  <c r="D12" i="5"/>
  <c r="E12" i="5"/>
  <c r="F12" i="5"/>
  <c r="A13" i="5"/>
  <c r="B13" i="5"/>
  <c r="C13" i="5"/>
  <c r="D13" i="5"/>
  <c r="E13" i="5"/>
  <c r="F13" i="5"/>
  <c r="A14" i="5"/>
  <c r="B14" i="5"/>
  <c r="C14" i="5"/>
  <c r="D14" i="5"/>
  <c r="E14" i="5"/>
  <c r="F14" i="5"/>
  <c r="A15" i="5"/>
  <c r="B15" i="5"/>
  <c r="C15" i="5"/>
  <c r="D15" i="5"/>
  <c r="E15" i="5"/>
  <c r="F15" i="5"/>
  <c r="A16" i="5"/>
  <c r="B16" i="5"/>
  <c r="C16" i="5"/>
  <c r="D16" i="5"/>
  <c r="E16" i="5"/>
  <c r="F16" i="5"/>
  <c r="A17" i="5"/>
  <c r="B17" i="5"/>
  <c r="C17" i="5"/>
  <c r="D17" i="5"/>
  <c r="E17" i="5"/>
  <c r="F17" i="5"/>
  <c r="A18" i="5"/>
  <c r="B18" i="5"/>
  <c r="C18" i="5"/>
  <c r="D18" i="5"/>
  <c r="E18" i="5"/>
  <c r="F18" i="5"/>
  <c r="A19" i="5"/>
  <c r="B19" i="5"/>
  <c r="C19" i="5"/>
  <c r="D19" i="5"/>
  <c r="E19" i="5"/>
  <c r="F19" i="5"/>
  <c r="A20" i="5"/>
  <c r="B20" i="5"/>
  <c r="C20" i="5"/>
  <c r="D20" i="5"/>
  <c r="E20" i="5"/>
  <c r="F20" i="5"/>
  <c r="A21" i="5"/>
  <c r="B21" i="5"/>
  <c r="C21" i="5"/>
  <c r="D21" i="5"/>
  <c r="E21" i="5"/>
  <c r="F21" i="5"/>
  <c r="A22" i="5"/>
  <c r="B22" i="5"/>
  <c r="C22" i="5"/>
  <c r="D22" i="5"/>
  <c r="E22" i="5"/>
  <c r="F22" i="5"/>
  <c r="A23" i="5"/>
  <c r="B23" i="5"/>
  <c r="C23" i="5"/>
  <c r="D23" i="5"/>
  <c r="E23" i="5"/>
  <c r="F23" i="5"/>
  <c r="A24" i="5"/>
  <c r="B24" i="5"/>
  <c r="C24" i="5"/>
  <c r="D24" i="5"/>
  <c r="E24" i="5"/>
  <c r="F24" i="5"/>
  <c r="A25" i="5"/>
  <c r="B25" i="5"/>
  <c r="C25" i="5"/>
  <c r="D25" i="5"/>
  <c r="E25" i="5"/>
  <c r="F25" i="5"/>
  <c r="A26" i="5"/>
  <c r="B26" i="5"/>
  <c r="C26" i="5"/>
  <c r="D26" i="5"/>
  <c r="E26" i="5"/>
  <c r="F26" i="5"/>
  <c r="A27" i="5"/>
  <c r="B27" i="5"/>
  <c r="C27" i="5"/>
  <c r="D27" i="5"/>
  <c r="E27" i="5"/>
  <c r="F27" i="5"/>
  <c r="A28" i="5"/>
  <c r="B28" i="5"/>
  <c r="C28" i="5"/>
  <c r="D28" i="5"/>
  <c r="E28" i="5"/>
  <c r="F28" i="5"/>
  <c r="A29" i="5"/>
  <c r="B29" i="5"/>
  <c r="C29" i="5"/>
  <c r="D29" i="5"/>
  <c r="E29" i="5"/>
  <c r="F29" i="5"/>
  <c r="A30" i="5"/>
  <c r="B30" i="5"/>
  <c r="C30" i="5"/>
  <c r="D30" i="5"/>
  <c r="E30" i="5"/>
  <c r="F30" i="5"/>
  <c r="A31" i="5"/>
  <c r="B31" i="5"/>
  <c r="C31" i="5"/>
  <c r="D31" i="5"/>
  <c r="E31" i="5"/>
  <c r="F31" i="5"/>
  <c r="A32" i="5"/>
  <c r="B32" i="5"/>
  <c r="C32" i="5"/>
  <c r="D32" i="5"/>
  <c r="E32" i="5"/>
  <c r="F32" i="5"/>
  <c r="A33" i="5"/>
  <c r="B33" i="5"/>
  <c r="C33" i="5"/>
  <c r="D33" i="5"/>
  <c r="E33" i="5"/>
  <c r="F33" i="5"/>
  <c r="A34" i="5"/>
  <c r="B34" i="5"/>
  <c r="C34" i="5"/>
  <c r="D34" i="5"/>
  <c r="E34" i="5"/>
  <c r="F34" i="5"/>
  <c r="A35" i="5"/>
  <c r="B35" i="5"/>
  <c r="C35" i="5"/>
  <c r="D35" i="5"/>
  <c r="E35" i="5"/>
  <c r="F35" i="5"/>
  <c r="A36" i="5"/>
  <c r="B36" i="5"/>
  <c r="C36" i="5"/>
  <c r="D36" i="5"/>
  <c r="E36" i="5"/>
  <c r="F36" i="5"/>
  <c r="A37" i="5"/>
  <c r="B37" i="5"/>
  <c r="C37" i="5"/>
  <c r="D37" i="5"/>
  <c r="E37" i="5"/>
  <c r="F37" i="5"/>
  <c r="A38" i="5"/>
  <c r="B38" i="5"/>
  <c r="C38" i="5"/>
  <c r="D38" i="5"/>
  <c r="E38" i="5"/>
  <c r="F38" i="5"/>
  <c r="A39" i="5"/>
  <c r="B39" i="5"/>
  <c r="C39" i="5"/>
  <c r="D39" i="5"/>
  <c r="E39" i="5"/>
  <c r="F39" i="5"/>
  <c r="A40" i="5"/>
  <c r="B40" i="5"/>
  <c r="C40" i="5"/>
  <c r="D40" i="5"/>
  <c r="E40" i="5"/>
  <c r="F40" i="5"/>
  <c r="A41" i="5"/>
  <c r="B41" i="5"/>
  <c r="C41" i="5"/>
  <c r="D41" i="5"/>
  <c r="E41" i="5"/>
  <c r="F41" i="5"/>
  <c r="A42" i="5"/>
  <c r="B42" i="5"/>
  <c r="C42" i="5"/>
  <c r="D42" i="5"/>
  <c r="E42" i="5"/>
  <c r="F42" i="5"/>
  <c r="A43" i="5"/>
  <c r="B43" i="5"/>
  <c r="C43" i="5"/>
  <c r="D43" i="5"/>
  <c r="E43" i="5"/>
  <c r="F43" i="5"/>
  <c r="A44" i="5"/>
  <c r="B44" i="5"/>
  <c r="C44" i="5"/>
  <c r="D44" i="5"/>
  <c r="E44" i="5"/>
  <c r="F44" i="5"/>
  <c r="A45" i="5"/>
  <c r="B45" i="5"/>
  <c r="C45" i="5"/>
  <c r="D45" i="5"/>
  <c r="E45" i="5"/>
  <c r="F45" i="5"/>
  <c r="A46" i="5"/>
  <c r="B46" i="5"/>
  <c r="C46" i="5"/>
  <c r="D46" i="5"/>
  <c r="E46" i="5"/>
  <c r="F46" i="5"/>
  <c r="A47" i="5"/>
  <c r="B47" i="5"/>
  <c r="C47" i="5"/>
  <c r="D47" i="5"/>
  <c r="E47" i="5"/>
  <c r="F47" i="5"/>
  <c r="A48" i="5"/>
  <c r="B48" i="5"/>
  <c r="C48" i="5"/>
  <c r="D48" i="5"/>
  <c r="E48" i="5"/>
  <c r="F48" i="5"/>
  <c r="A49" i="5"/>
  <c r="B49" i="5"/>
  <c r="C49" i="5"/>
  <c r="D49" i="5"/>
  <c r="E49" i="5"/>
  <c r="F49" i="5"/>
  <c r="A4" i="4"/>
  <c r="B4" i="4"/>
  <c r="C4" i="4"/>
  <c r="D4" i="4"/>
  <c r="E4" i="4"/>
  <c r="F4" i="4"/>
  <c r="G4" i="4"/>
  <c r="H4" i="4"/>
  <c r="A5" i="4"/>
  <c r="B5" i="4"/>
  <c r="C5" i="4"/>
  <c r="D5" i="4"/>
  <c r="E5" i="4"/>
  <c r="F5" i="4"/>
  <c r="G5" i="4"/>
  <c r="H5" i="4"/>
  <c r="A6" i="4"/>
  <c r="B6" i="4"/>
  <c r="C6" i="4"/>
  <c r="D6" i="4"/>
  <c r="E6" i="4"/>
  <c r="F6" i="4"/>
  <c r="G6" i="4"/>
  <c r="H6" i="4"/>
  <c r="A7" i="4"/>
  <c r="B7" i="4"/>
  <c r="C7" i="4"/>
  <c r="D7" i="4"/>
  <c r="E7" i="4"/>
  <c r="F7" i="4"/>
  <c r="G7" i="4"/>
  <c r="H7" i="4"/>
  <c r="A8" i="4"/>
  <c r="B8" i="4"/>
  <c r="C8" i="4"/>
  <c r="D8" i="4"/>
  <c r="E8" i="4"/>
  <c r="F8" i="4"/>
  <c r="G8" i="4"/>
  <c r="H8" i="4"/>
  <c r="A9" i="4"/>
  <c r="B9" i="4"/>
  <c r="C9" i="4"/>
  <c r="D9" i="4"/>
  <c r="E9" i="4"/>
  <c r="F9" i="4"/>
  <c r="G9" i="4"/>
  <c r="H9" i="4"/>
  <c r="A10" i="4"/>
  <c r="B10" i="4"/>
  <c r="C10" i="4"/>
  <c r="D10" i="4"/>
  <c r="E10" i="4"/>
  <c r="F10" i="4"/>
  <c r="G10" i="4"/>
  <c r="H10" i="4"/>
  <c r="A11" i="4"/>
  <c r="B11" i="4"/>
  <c r="C11" i="4"/>
  <c r="D11" i="4"/>
  <c r="E11" i="4"/>
  <c r="F11" i="4"/>
  <c r="G11" i="4"/>
  <c r="H11" i="4"/>
  <c r="A12" i="4"/>
  <c r="B12" i="4"/>
  <c r="C12" i="4"/>
  <c r="D12" i="4"/>
  <c r="E12" i="4"/>
  <c r="F12" i="4"/>
  <c r="G12" i="4"/>
  <c r="H12" i="4"/>
  <c r="A13" i="4"/>
  <c r="B13" i="4"/>
  <c r="C13" i="4"/>
  <c r="D13" i="4"/>
  <c r="E13" i="4"/>
  <c r="F13" i="4"/>
  <c r="G13" i="4"/>
  <c r="H13" i="4"/>
  <c r="A14" i="4"/>
  <c r="B14" i="4"/>
  <c r="C14" i="4"/>
  <c r="D14" i="4"/>
  <c r="E14" i="4"/>
  <c r="F14" i="4"/>
  <c r="G14" i="4"/>
  <c r="H14" i="4"/>
  <c r="A15" i="4"/>
  <c r="B15" i="4"/>
  <c r="C15" i="4"/>
  <c r="D15" i="4"/>
  <c r="E15" i="4"/>
  <c r="F15" i="4"/>
  <c r="G15" i="4"/>
  <c r="H15" i="4"/>
  <c r="A16" i="4"/>
  <c r="B16" i="4"/>
  <c r="C16" i="4"/>
  <c r="D16" i="4"/>
  <c r="E16" i="4"/>
  <c r="F16" i="4"/>
  <c r="G16" i="4"/>
  <c r="H16" i="4"/>
  <c r="A17" i="4"/>
  <c r="B17" i="4"/>
  <c r="C17" i="4"/>
  <c r="D17" i="4"/>
  <c r="E17" i="4"/>
  <c r="F17" i="4"/>
  <c r="G17" i="4"/>
  <c r="H17" i="4"/>
  <c r="A18" i="4"/>
  <c r="B18" i="4"/>
  <c r="C18" i="4"/>
  <c r="D18" i="4"/>
  <c r="E18" i="4"/>
  <c r="F18" i="4"/>
  <c r="G18" i="4"/>
  <c r="H18" i="4"/>
  <c r="A19" i="4"/>
  <c r="B19" i="4"/>
  <c r="C19" i="4"/>
  <c r="D19" i="4"/>
  <c r="E19" i="4"/>
  <c r="F19" i="4"/>
  <c r="G19" i="4"/>
  <c r="H19" i="4"/>
  <c r="A20" i="4"/>
  <c r="B20" i="4"/>
  <c r="C20" i="4"/>
  <c r="D20" i="4"/>
  <c r="E20" i="4"/>
  <c r="F20" i="4"/>
  <c r="G20" i="4"/>
  <c r="H20" i="4"/>
  <c r="A21" i="4"/>
  <c r="B21" i="4"/>
  <c r="C21" i="4"/>
  <c r="D21" i="4"/>
  <c r="E21" i="4"/>
  <c r="F21" i="4"/>
  <c r="G21" i="4"/>
  <c r="H21" i="4"/>
  <c r="A22" i="4"/>
  <c r="B22" i="4"/>
  <c r="C22" i="4"/>
  <c r="D22" i="4"/>
  <c r="E22" i="4"/>
  <c r="F22" i="4"/>
  <c r="G22" i="4"/>
  <c r="H22" i="4"/>
  <c r="A23" i="4"/>
  <c r="B23" i="4"/>
  <c r="C23" i="4"/>
  <c r="D23" i="4"/>
  <c r="E23" i="4"/>
  <c r="F23" i="4"/>
  <c r="G23" i="4"/>
  <c r="H23" i="4"/>
  <c r="A24" i="4"/>
  <c r="B24" i="4"/>
  <c r="C24" i="4"/>
  <c r="D24" i="4"/>
  <c r="E24" i="4"/>
  <c r="F24" i="4"/>
  <c r="G24" i="4"/>
  <c r="H24" i="4"/>
  <c r="A25" i="4"/>
  <c r="B25" i="4"/>
  <c r="C25" i="4"/>
  <c r="D25" i="4"/>
  <c r="E25" i="4"/>
  <c r="F25" i="4"/>
  <c r="G25" i="4"/>
  <c r="H25" i="4"/>
  <c r="A26" i="4"/>
  <c r="B26" i="4"/>
  <c r="C26" i="4"/>
  <c r="D26" i="4"/>
  <c r="E26" i="4"/>
  <c r="F26" i="4"/>
  <c r="G26" i="4"/>
  <c r="H26" i="4"/>
  <c r="A27" i="4"/>
  <c r="B27" i="4"/>
  <c r="C27" i="4"/>
  <c r="D27" i="4"/>
  <c r="E27" i="4"/>
  <c r="F27" i="4"/>
  <c r="G27" i="4"/>
  <c r="H27" i="4"/>
  <c r="A28" i="4"/>
  <c r="B28" i="4"/>
  <c r="C28" i="4"/>
  <c r="D28" i="4"/>
  <c r="E28" i="4"/>
  <c r="F28" i="4"/>
  <c r="G28" i="4"/>
  <c r="H28" i="4"/>
  <c r="A29" i="4"/>
  <c r="B29" i="4"/>
  <c r="C29" i="4"/>
  <c r="D29" i="4"/>
  <c r="E29" i="4"/>
  <c r="F29" i="4"/>
  <c r="G29" i="4"/>
  <c r="H29" i="4"/>
  <c r="A30" i="4"/>
  <c r="B30" i="4"/>
  <c r="C30" i="4"/>
  <c r="D30" i="4"/>
  <c r="E30" i="4"/>
  <c r="F30" i="4"/>
  <c r="G30" i="4"/>
  <c r="H30" i="4"/>
  <c r="A31" i="4"/>
  <c r="B31" i="4"/>
  <c r="C31" i="4"/>
  <c r="D31" i="4"/>
  <c r="E31" i="4"/>
  <c r="F31" i="4"/>
  <c r="G31" i="4"/>
  <c r="H31" i="4"/>
  <c r="A32" i="4"/>
  <c r="B32" i="4"/>
  <c r="C32" i="4"/>
  <c r="D32" i="4"/>
  <c r="E32" i="4"/>
  <c r="F32" i="4"/>
  <c r="G32" i="4"/>
  <c r="H32" i="4"/>
  <c r="A33" i="4"/>
  <c r="B33" i="4"/>
  <c r="C33" i="4"/>
  <c r="D33" i="4"/>
  <c r="E33" i="4"/>
  <c r="F33" i="4"/>
  <c r="G33" i="4"/>
  <c r="H33" i="4"/>
  <c r="A34" i="4"/>
  <c r="B34" i="4"/>
  <c r="C34" i="4"/>
  <c r="D34" i="4"/>
  <c r="E34" i="4"/>
  <c r="F34" i="4"/>
  <c r="G34" i="4"/>
  <c r="H34" i="4"/>
  <c r="A35" i="4"/>
  <c r="B35" i="4"/>
  <c r="C35" i="4"/>
  <c r="D35" i="4"/>
  <c r="E35" i="4"/>
  <c r="F35" i="4"/>
  <c r="G35" i="4"/>
  <c r="H35" i="4"/>
  <c r="A36" i="4"/>
  <c r="B36" i="4"/>
  <c r="C36" i="4"/>
  <c r="D36" i="4"/>
  <c r="E36" i="4"/>
  <c r="F36" i="4"/>
  <c r="G36" i="4"/>
  <c r="H36" i="4"/>
  <c r="A37" i="4"/>
  <c r="B37" i="4"/>
  <c r="C37" i="4"/>
  <c r="D37" i="4"/>
  <c r="E37" i="4"/>
  <c r="F37" i="4"/>
  <c r="G37" i="4"/>
  <c r="H37" i="4"/>
  <c r="A38" i="4"/>
  <c r="B38" i="4"/>
  <c r="C38" i="4"/>
  <c r="D38" i="4"/>
  <c r="E38" i="4"/>
  <c r="F38" i="4"/>
  <c r="G38" i="4"/>
  <c r="H38" i="4"/>
  <c r="A39" i="4"/>
  <c r="B39" i="4"/>
  <c r="C39" i="4"/>
  <c r="D39" i="4"/>
  <c r="E39" i="4"/>
  <c r="F39" i="4"/>
  <c r="G39" i="4"/>
  <c r="H39" i="4"/>
  <c r="A40" i="4"/>
  <c r="B40" i="4"/>
  <c r="C40" i="4"/>
  <c r="D40" i="4"/>
  <c r="E40" i="4"/>
  <c r="F40" i="4"/>
  <c r="G40" i="4"/>
  <c r="H40" i="4"/>
  <c r="A41" i="4"/>
  <c r="B41" i="4"/>
  <c r="C41" i="4"/>
  <c r="D41" i="4"/>
  <c r="E41" i="4"/>
  <c r="F41" i="4"/>
  <c r="G41" i="4"/>
  <c r="H41" i="4"/>
  <c r="A42" i="4"/>
  <c r="B42" i="4"/>
  <c r="C42" i="4"/>
  <c r="D42" i="4"/>
  <c r="E42" i="4"/>
  <c r="F42" i="4"/>
  <c r="G42" i="4"/>
  <c r="H42" i="4"/>
  <c r="A43" i="4"/>
  <c r="B43" i="4"/>
  <c r="C43" i="4"/>
  <c r="D43" i="4"/>
  <c r="E43" i="4"/>
  <c r="F43" i="4"/>
  <c r="G43" i="4"/>
  <c r="H43" i="4"/>
  <c r="A44" i="4"/>
  <c r="B44" i="4"/>
  <c r="C44" i="4"/>
  <c r="D44" i="4"/>
  <c r="E44" i="4"/>
  <c r="F44" i="4"/>
  <c r="G44" i="4"/>
  <c r="H44" i="4"/>
  <c r="A45" i="4"/>
  <c r="B45" i="4"/>
  <c r="C45" i="4"/>
  <c r="D45" i="4"/>
  <c r="E45" i="4"/>
  <c r="F45" i="4"/>
  <c r="G45" i="4"/>
  <c r="H45" i="4"/>
  <c r="A46" i="4"/>
  <c r="B46" i="4"/>
  <c r="C46" i="4"/>
  <c r="D46" i="4"/>
  <c r="E46" i="4"/>
  <c r="F46" i="4"/>
  <c r="G46" i="4"/>
  <c r="H46" i="4"/>
  <c r="A47" i="4"/>
  <c r="B47" i="4"/>
  <c r="C47" i="4"/>
  <c r="D47" i="4"/>
  <c r="E47" i="4"/>
  <c r="F47" i="4"/>
  <c r="G47" i="4"/>
  <c r="H47" i="4"/>
  <c r="A48" i="4"/>
  <c r="B48" i="4"/>
  <c r="C48" i="4"/>
  <c r="D48" i="4"/>
  <c r="E48" i="4"/>
  <c r="F48" i="4"/>
  <c r="G48" i="4"/>
  <c r="H48" i="4"/>
  <c r="A49" i="4"/>
  <c r="B49" i="4"/>
  <c r="C49" i="4"/>
  <c r="D49" i="4"/>
  <c r="E49" i="4"/>
  <c r="F49" i="4"/>
  <c r="G49" i="4"/>
  <c r="H49" i="4"/>
  <c r="A50" i="4"/>
  <c r="B50" i="4"/>
  <c r="C50" i="4"/>
  <c r="D50" i="4"/>
  <c r="E50" i="4"/>
  <c r="F50" i="4"/>
  <c r="G50" i="4"/>
  <c r="H50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3" i="3"/>
  <c r="A4" i="3"/>
  <c r="C4" i="3"/>
  <c r="D4" i="3"/>
  <c r="E4" i="3"/>
  <c r="F4" i="3"/>
  <c r="A5" i="3"/>
  <c r="C5" i="3"/>
  <c r="D5" i="3"/>
  <c r="E5" i="3"/>
  <c r="F5" i="3"/>
  <c r="A6" i="3"/>
  <c r="C6" i="3"/>
  <c r="D6" i="3"/>
  <c r="E6" i="3"/>
  <c r="F6" i="3"/>
  <c r="A7" i="3"/>
  <c r="C7" i="3"/>
  <c r="D7" i="3"/>
  <c r="E7" i="3"/>
  <c r="F7" i="3"/>
  <c r="A8" i="3"/>
  <c r="C8" i="3"/>
  <c r="D8" i="3"/>
  <c r="E8" i="3"/>
  <c r="F8" i="3"/>
  <c r="A9" i="3"/>
  <c r="C9" i="3"/>
  <c r="D9" i="3"/>
  <c r="E9" i="3"/>
  <c r="F9" i="3"/>
  <c r="A10" i="3"/>
  <c r="C10" i="3"/>
  <c r="D10" i="3"/>
  <c r="E10" i="3"/>
  <c r="F10" i="3"/>
  <c r="A11" i="3"/>
  <c r="C11" i="3"/>
  <c r="D11" i="3"/>
  <c r="E11" i="3"/>
  <c r="F11" i="3"/>
  <c r="A12" i="3"/>
  <c r="C12" i="3"/>
  <c r="D12" i="3"/>
  <c r="E12" i="3"/>
  <c r="F12" i="3"/>
  <c r="A13" i="3"/>
  <c r="C13" i="3"/>
  <c r="D13" i="3"/>
  <c r="E13" i="3"/>
  <c r="F13" i="3"/>
  <c r="A14" i="3"/>
  <c r="C14" i="3"/>
  <c r="D14" i="3"/>
  <c r="E14" i="3"/>
  <c r="F14" i="3"/>
  <c r="A15" i="3"/>
  <c r="C15" i="3"/>
  <c r="D15" i="3"/>
  <c r="E15" i="3"/>
  <c r="F15" i="3"/>
  <c r="A16" i="3"/>
  <c r="C16" i="3"/>
  <c r="D16" i="3"/>
  <c r="E16" i="3"/>
  <c r="F16" i="3"/>
  <c r="A17" i="3"/>
  <c r="C17" i="3"/>
  <c r="D17" i="3"/>
  <c r="E17" i="3"/>
  <c r="F17" i="3"/>
  <c r="A18" i="3"/>
  <c r="C18" i="3"/>
  <c r="D18" i="3"/>
  <c r="E18" i="3"/>
  <c r="F18" i="3"/>
  <c r="A19" i="3"/>
  <c r="C19" i="3"/>
  <c r="D19" i="3"/>
  <c r="E19" i="3"/>
  <c r="F19" i="3"/>
  <c r="A20" i="3"/>
  <c r="C20" i="3"/>
  <c r="D20" i="3"/>
  <c r="E20" i="3"/>
  <c r="F20" i="3"/>
  <c r="A21" i="3"/>
  <c r="C21" i="3"/>
  <c r="D21" i="3"/>
  <c r="E21" i="3"/>
  <c r="F21" i="3"/>
  <c r="A22" i="3"/>
  <c r="C22" i="3"/>
  <c r="D22" i="3"/>
  <c r="E22" i="3"/>
  <c r="F22" i="3"/>
  <c r="A23" i="3"/>
  <c r="C23" i="3"/>
  <c r="D23" i="3"/>
  <c r="E23" i="3"/>
  <c r="F23" i="3"/>
  <c r="A24" i="3"/>
  <c r="C24" i="3"/>
  <c r="D24" i="3"/>
  <c r="E24" i="3"/>
  <c r="F24" i="3"/>
  <c r="A25" i="3"/>
  <c r="C25" i="3"/>
  <c r="D25" i="3"/>
  <c r="E25" i="3"/>
  <c r="F25" i="3"/>
  <c r="A26" i="3"/>
  <c r="C26" i="3"/>
  <c r="D26" i="3"/>
  <c r="E26" i="3"/>
  <c r="F26" i="3"/>
  <c r="A27" i="3"/>
  <c r="C27" i="3"/>
  <c r="D27" i="3"/>
  <c r="E27" i="3"/>
  <c r="F27" i="3"/>
  <c r="A28" i="3"/>
  <c r="C28" i="3"/>
  <c r="D28" i="3"/>
  <c r="E28" i="3"/>
  <c r="F28" i="3"/>
  <c r="A29" i="3"/>
  <c r="C29" i="3"/>
  <c r="D29" i="3"/>
  <c r="E29" i="3"/>
  <c r="F29" i="3"/>
  <c r="A30" i="3"/>
  <c r="C30" i="3"/>
  <c r="D30" i="3"/>
  <c r="E30" i="3"/>
  <c r="F30" i="3"/>
  <c r="A31" i="3"/>
  <c r="C31" i="3"/>
  <c r="D31" i="3"/>
  <c r="E31" i="3"/>
  <c r="F31" i="3"/>
  <c r="A32" i="3"/>
  <c r="C32" i="3"/>
  <c r="D32" i="3"/>
  <c r="E32" i="3"/>
  <c r="F32" i="3"/>
  <c r="A33" i="3"/>
  <c r="C33" i="3"/>
  <c r="D33" i="3"/>
  <c r="E33" i="3"/>
  <c r="F33" i="3"/>
  <c r="A34" i="3"/>
  <c r="C34" i="3"/>
  <c r="D34" i="3"/>
  <c r="E34" i="3"/>
  <c r="F34" i="3"/>
  <c r="A35" i="3"/>
  <c r="C35" i="3"/>
  <c r="D35" i="3"/>
  <c r="E35" i="3"/>
  <c r="F35" i="3"/>
  <c r="A36" i="3"/>
  <c r="C36" i="3"/>
  <c r="D36" i="3"/>
  <c r="E36" i="3"/>
  <c r="F36" i="3"/>
  <c r="A37" i="3"/>
  <c r="C37" i="3"/>
  <c r="D37" i="3"/>
  <c r="E37" i="3"/>
  <c r="F37" i="3"/>
  <c r="A38" i="3"/>
  <c r="C38" i="3"/>
  <c r="D38" i="3"/>
  <c r="E38" i="3"/>
  <c r="F38" i="3"/>
  <c r="A39" i="3"/>
  <c r="C39" i="3"/>
  <c r="D39" i="3"/>
  <c r="E39" i="3"/>
  <c r="F39" i="3"/>
  <c r="A40" i="3"/>
  <c r="C40" i="3"/>
  <c r="D40" i="3"/>
  <c r="E40" i="3"/>
  <c r="F40" i="3"/>
  <c r="A41" i="3"/>
  <c r="C41" i="3"/>
  <c r="D41" i="3"/>
  <c r="E41" i="3"/>
  <c r="F41" i="3"/>
  <c r="A42" i="3"/>
  <c r="C42" i="3"/>
  <c r="D42" i="3"/>
  <c r="E42" i="3"/>
  <c r="F42" i="3"/>
  <c r="A43" i="3"/>
  <c r="C43" i="3"/>
  <c r="D43" i="3"/>
  <c r="E43" i="3"/>
  <c r="F43" i="3"/>
  <c r="A44" i="3"/>
  <c r="C44" i="3"/>
  <c r="D44" i="3"/>
  <c r="E44" i="3"/>
  <c r="F44" i="3"/>
  <c r="A45" i="3"/>
  <c r="C45" i="3"/>
  <c r="D45" i="3"/>
  <c r="E45" i="3"/>
  <c r="F45" i="3"/>
  <c r="A46" i="3"/>
  <c r="C46" i="3"/>
  <c r="D46" i="3"/>
  <c r="E46" i="3"/>
  <c r="F46" i="3"/>
  <c r="A47" i="3"/>
  <c r="C47" i="3"/>
  <c r="D47" i="3"/>
  <c r="E47" i="3"/>
  <c r="F47" i="3"/>
  <c r="A48" i="3"/>
  <c r="C48" i="3"/>
  <c r="D48" i="3"/>
  <c r="E48" i="3"/>
  <c r="F48" i="3"/>
  <c r="A49" i="3"/>
  <c r="C49" i="3"/>
  <c r="D49" i="3"/>
  <c r="E49" i="3"/>
  <c r="F49" i="3"/>
  <c r="A50" i="3"/>
  <c r="C50" i="3"/>
  <c r="D50" i="3"/>
  <c r="E50" i="3"/>
  <c r="F50" i="3"/>
  <c r="A51" i="3"/>
  <c r="C51" i="3"/>
  <c r="D51" i="3"/>
  <c r="E51" i="3"/>
  <c r="F51" i="3"/>
  <c r="A52" i="3"/>
  <c r="C52" i="3"/>
  <c r="D52" i="3"/>
  <c r="E52" i="3"/>
  <c r="F52" i="3"/>
  <c r="Q5" i="1"/>
  <c r="G3" i="4"/>
  <c r="F3" i="4"/>
  <c r="E3" i="4"/>
  <c r="D3" i="4"/>
  <c r="C3" i="4"/>
  <c r="B3" i="4"/>
  <c r="A3" i="4"/>
  <c r="F3" i="3"/>
  <c r="E3" i="3"/>
  <c r="D3" i="3"/>
  <c r="C3" i="3"/>
  <c r="A3" i="3"/>
  <c r="A3" i="2"/>
  <c r="B3" i="2"/>
  <c r="C3" i="2"/>
  <c r="D3" i="2"/>
  <c r="E3" i="2"/>
  <c r="F3" i="2"/>
  <c r="G3" i="2"/>
  <c r="H3" i="2"/>
  <c r="I3" i="2"/>
  <c r="J3" i="2"/>
  <c r="H3" i="4"/>
  <c r="A3" i="5"/>
  <c r="B3" i="5"/>
  <c r="C3" i="5"/>
  <c r="D3" i="5"/>
  <c r="E3" i="5"/>
  <c r="F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tc={5C512CA7-D139-5048-BF68-EBB4CAE5773C}</author>
  </authors>
  <commentList>
    <comment ref="N2" authorId="0" shapeId="0" xr:uid="{5C512CA7-D139-5048-BF68-EBB4CAE5773C}">
      <text>
        <t>[Threaded comment]
Your version of Excel allows you to read this threaded comment; however, any edits to it will get removed if the file is opened in a newer version of Excel. Learn more: https://go.microsoft.com/fwlink/?linkid=870924
Comment:
    Mes: Diciembre</t>
      </text>
    </comment>
  </commentList>
</comments>
</file>

<file path=xl/sharedStrings.xml><?xml version="1.0" encoding="utf-8"?>
<sst xmlns="http://schemas.openxmlformats.org/spreadsheetml/2006/main" count="280" uniqueCount="165">
  <si>
    <t>BITACORA VENTA LOCAL</t>
  </si>
  <si>
    <t>VIVERO SONSONATE</t>
  </si>
  <si>
    <t>Trabajador</t>
  </si>
  <si>
    <t>Sembrar a campo/Sacar de campo</t>
  </si>
  <si>
    <t>Otras actividades</t>
  </si>
  <si>
    <t>PRODUCCION DE MERCADO LOCAL</t>
  </si>
  <si>
    <t>Código</t>
  </si>
  <si>
    <t xml:space="preserve">Cortar y sembrar Enraizador </t>
  </si>
  <si>
    <t>Presentación (Maceta, bolsa, etc)</t>
  </si>
  <si>
    <t>Producción: Nombre de la planta (Cantidad y tamaño)</t>
  </si>
  <si>
    <t>Origen de las plantas</t>
  </si>
  <si>
    <t>Siembra: Tiempo en horas</t>
  </si>
  <si>
    <t>Material utilizado</t>
  </si>
  <si>
    <t>Requisición</t>
  </si>
  <si>
    <t>Fecha</t>
  </si>
  <si>
    <t>Cantidad</t>
  </si>
  <si>
    <t>A campo: Lugar de siembra</t>
  </si>
  <si>
    <t>Cambio de presentación: Antigua presentación</t>
  </si>
  <si>
    <t>Cambio de presentación: Nueva Presentación</t>
  </si>
  <si>
    <t>Cortar Follaje</t>
  </si>
  <si>
    <t>Producción</t>
  </si>
  <si>
    <t>Siembra a Campo</t>
  </si>
  <si>
    <t>Cambio de Presentación</t>
  </si>
  <si>
    <t>Descargo de plantas</t>
  </si>
  <si>
    <t>Datos</t>
  </si>
  <si>
    <t>Código antiguo</t>
  </si>
  <si>
    <t>Día</t>
  </si>
  <si>
    <t>Nombre de la planta- Tamaño y cantidad</t>
  </si>
  <si>
    <t>DESCARGO DE MERCADO LOCAL</t>
  </si>
  <si>
    <t>Motivo de descargo</t>
  </si>
  <si>
    <t>CAMBIO DE PRESENTACION</t>
  </si>
  <si>
    <t>SEMBRADO A CAMPO</t>
  </si>
  <si>
    <t>AÑO:2025</t>
  </si>
  <si>
    <t>SUPERVISA: Douglas López</t>
  </si>
  <si>
    <t>PC#1</t>
  </si>
  <si>
    <t>Macetas</t>
  </si>
  <si>
    <t>MP#11</t>
  </si>
  <si>
    <t>Bolsas</t>
  </si>
  <si>
    <t>8*8</t>
  </si>
  <si>
    <t>9*12</t>
  </si>
  <si>
    <t>14*16</t>
  </si>
  <si>
    <t>MPJ#1</t>
  </si>
  <si>
    <t>14*23</t>
  </si>
  <si>
    <t>Saco</t>
  </si>
  <si>
    <t>Cantidad de sustrato</t>
  </si>
  <si>
    <t>Plato#3</t>
  </si>
  <si>
    <t>110 libras</t>
  </si>
  <si>
    <t>Decorativas</t>
  </si>
  <si>
    <t>CAPOSA S.A. DE C.V.                                                            Cantidades de sustrato por depositos</t>
  </si>
  <si>
    <t>ENCARGADO: Erick Cerrato-Douglas López</t>
  </si>
  <si>
    <t>Vivero 60%</t>
  </si>
  <si>
    <t>MP#3 dec</t>
  </si>
  <si>
    <t>PAMP04021</t>
  </si>
  <si>
    <t>PCBP04038</t>
  </si>
  <si>
    <t>PCMP05035</t>
  </si>
  <si>
    <t>PCBP04035</t>
  </si>
  <si>
    <t>PCMP06040</t>
  </si>
  <si>
    <t>PPMP04017</t>
  </si>
  <si>
    <t>PDMP04103</t>
  </si>
  <si>
    <t>1 Potho limon PC#1</t>
  </si>
  <si>
    <t>PPCA01039</t>
  </si>
  <si>
    <t>PPCA01037</t>
  </si>
  <si>
    <t>1 Aralia penockii malla circ MP#6</t>
  </si>
  <si>
    <t>PSMP05013</t>
  </si>
  <si>
    <t>bolsa 9*12</t>
  </si>
  <si>
    <t>PFMP03120</t>
  </si>
  <si>
    <t>Mp#4 dec</t>
  </si>
  <si>
    <t>Queso suizo 5 plantas de 6 pulgadas</t>
  </si>
  <si>
    <t>Gardenias 1 plantas de 10 pulgadas</t>
  </si>
  <si>
    <t>Aralia fabia 5 plantas de 70 cm</t>
  </si>
  <si>
    <t>Ficus Lyriata 1 plantas de 50 cm</t>
  </si>
  <si>
    <t>Aralia fabia 7 plantas de 70 cm</t>
  </si>
  <si>
    <t>MP#4 dec</t>
  </si>
  <si>
    <t xml:space="preserve">20 Araucarias MP#11 </t>
  </si>
  <si>
    <t>20 Araucarias MP#3 dec</t>
  </si>
  <si>
    <t>1 Aralia feliscifolia MP#4 dec</t>
  </si>
  <si>
    <t>31 Palmera pheonix bolsa 14*16</t>
  </si>
  <si>
    <t>8 Juniperos chinensis bolsa 9*12</t>
  </si>
  <si>
    <t>29 cipres mini bolsa 9*12</t>
  </si>
  <si>
    <t>1 Croto punctatum malla circ MP#6</t>
  </si>
  <si>
    <t>PDMP04002</t>
  </si>
  <si>
    <t>PAMP06017</t>
  </si>
  <si>
    <t>7 schefflera mini trenza MP#5</t>
  </si>
  <si>
    <t>1 Ficus brasil MP#3 dec</t>
  </si>
  <si>
    <t>10 Croto petra amarillo bolsa 9*12</t>
  </si>
  <si>
    <t>1 Peperomia MP#4</t>
  </si>
  <si>
    <t>1 potho joy variegado PC#1</t>
  </si>
  <si>
    <t>10 Croto batick trenza MP#5</t>
  </si>
  <si>
    <t>13 Croto batick bolsa 9*12</t>
  </si>
  <si>
    <t>3 Diaffembaqui MP#4</t>
  </si>
  <si>
    <t>1 Palmera areca MP#4 dec</t>
  </si>
  <si>
    <t>18 Arreglos combinados MP34</t>
  </si>
  <si>
    <t>liliam-Lidia</t>
  </si>
  <si>
    <t>9 Diaffembaquias MP#4</t>
  </si>
  <si>
    <t>En adaptación se mruieron</t>
  </si>
  <si>
    <t>9 Croto batick trenza MP#5</t>
  </si>
  <si>
    <t>15 Croto gold dust trenza MP#5</t>
  </si>
  <si>
    <t>38 Croto petra 3 puntas MP#5</t>
  </si>
  <si>
    <t>18 Croto punctatum trenza MP#5</t>
  </si>
  <si>
    <t>10 Diaffembaquias MP#4</t>
  </si>
  <si>
    <t>11 Alamanda enana MP#11</t>
  </si>
  <si>
    <t>Por viejas</t>
  </si>
  <si>
    <t>3 Santa marta bolsa 9*12</t>
  </si>
  <si>
    <t>40 Croto punctatum bolsa 9*12</t>
  </si>
  <si>
    <t>Por viento</t>
  </si>
  <si>
    <t>50 Croto Iceton bolsa 9*12</t>
  </si>
  <si>
    <t>PBMP04011</t>
  </si>
  <si>
    <t>114 Suculentas Bryophillum MP#4</t>
  </si>
  <si>
    <t>No se vendieron se murieron por falta de mantenimiento</t>
  </si>
  <si>
    <t>18 Acalipha bolsa 9*12</t>
  </si>
  <si>
    <t>Se las comio el zompopo</t>
  </si>
  <si>
    <t>Se murieron adaptandose cambio de enraizador a maceta</t>
  </si>
  <si>
    <t>PCBP07100</t>
  </si>
  <si>
    <t>25 Arbol de coral bolsa 14*16</t>
  </si>
  <si>
    <t>Nunca se vendieron y se pegaron al suelo no se pudieron cambiar de bolsa</t>
  </si>
  <si>
    <t>Liliam-Idalia</t>
  </si>
  <si>
    <t>Por viejas en la maceta</t>
  </si>
  <si>
    <t>PCBP04104</t>
  </si>
  <si>
    <t>5 CIPRES MINI BP 9X12</t>
  </si>
  <si>
    <t>PCBP04102</t>
  </si>
  <si>
    <t>36 JUNIPERUS CHINENSIS</t>
  </si>
  <si>
    <t>No se adaptaron al clima</t>
  </si>
  <si>
    <t>PABP07013</t>
  </si>
  <si>
    <t>59 ARALIA BALFOURIANA BP 14X16</t>
  </si>
  <si>
    <t>Se pegaron al suelo ya no se pudieron cambiar de bolsa</t>
  </si>
  <si>
    <t>PJBP04006</t>
  </si>
  <si>
    <t>Se murieron adaptandose cambio de bolsa</t>
  </si>
  <si>
    <t>6 Araucarias MP#3 dec</t>
  </si>
  <si>
    <t>75 Cedros bolsa 9*12</t>
  </si>
  <si>
    <t>PSBP04027</t>
  </si>
  <si>
    <t>No se vendieron les cayo una rama se murieron</t>
  </si>
  <si>
    <t>57 Peperomia MP#4</t>
  </si>
  <si>
    <t>75 JUNIPERO BP 9X12</t>
  </si>
  <si>
    <t>PFMP03200</t>
  </si>
  <si>
    <t>PAMP40017</t>
  </si>
  <si>
    <t>PGBP04001</t>
  </si>
  <si>
    <t>PQCA01001</t>
  </si>
  <si>
    <t>PAMP03017</t>
  </si>
  <si>
    <t>PPBP07006</t>
  </si>
  <si>
    <t>PAMP04128</t>
  </si>
  <si>
    <t>PJMP04006</t>
  </si>
  <si>
    <t>13 Junipero MP#4</t>
  </si>
  <si>
    <t>PCMP05036</t>
  </si>
  <si>
    <t>PCMP05039</t>
  </si>
  <si>
    <t>PCMP05040</t>
  </si>
  <si>
    <t>PAMP11038</t>
  </si>
  <si>
    <t>PSBP04003</t>
  </si>
  <si>
    <t>PCBP04040</t>
  </si>
  <si>
    <t>PCBP04037</t>
  </si>
  <si>
    <t>PABP04040</t>
  </si>
  <si>
    <t>PCMP06065</t>
  </si>
  <si>
    <t>PAMP03119</t>
  </si>
  <si>
    <t>PABP04066</t>
  </si>
  <si>
    <t>Julio-Alberto</t>
  </si>
  <si>
    <t>Liliam-Lidia</t>
  </si>
  <si>
    <t>Liliam-Lidia-Alberto</t>
  </si>
  <si>
    <t>Fermin-Julio</t>
  </si>
  <si>
    <t>4 horas</t>
  </si>
  <si>
    <t>16 horas</t>
  </si>
  <si>
    <t>8 horas</t>
  </si>
  <si>
    <t>venian muertas</t>
  </si>
  <si>
    <t>100 SABILA BP 9X12</t>
  </si>
  <si>
    <t>no hubo sembrado a campo</t>
  </si>
  <si>
    <t>10 Croto batick malla circ MP#6</t>
  </si>
  <si>
    <t xml:space="preserve">Mes: Diciembre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</si>
</sst>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16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14" fontId="0" fillId="0" borderId="0" xfId="0" applyNumberFormat="1"/>
    <xf numFmtId="49" fontId="1" fillId="0" borderId="1" xfId="0" applyNumberFormat="1" applyFont="1" applyBorder="1" applyAlignment="1">
      <alignment wrapText="1"/>
    </xf>
    <xf numFmtId="49" fontId="0" fillId="0" borderId="0" xfId="0" applyNumberFormat="1"/>
    <xf numFmtId="14" fontId="1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0" xfId="0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microsoft.com/office/2017/10/relationships/person" Target="persons/perso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uglas Lopez" id="{7276727A-5237-E948-9969-95D6923E61D0}" userId="f26385c0de41b719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6-01-12T19:38:46.45" personId="{7276727A-5237-E948-9969-95D6923E61D0}" id="{5C512CA7-D139-5048-BF68-EBB4CAE5773C}">
    <text>Mes: Diciembre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4" Type="http://schemas.microsoft.com/office/2017/10/relationships/threadedComment" Target="../threadedComments/threadedComment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zoomScale="95" zoomScaleNormal="95" workbookViewId="0">
      <pane xSplit="7" ySplit="4" topLeftCell="H16" activePane="bottomRight" state="frozen"/>
      <selection activeCell="A4" sqref="A4"/>
      <selection pane="bottomLeft" activeCell="A8" sqref="A8"/>
      <selection pane="topRight" activeCell="H4" sqref="H4"/>
      <selection pane="bottomRight" activeCell="N2" sqref="N2:P2"/>
    </sheetView>
  </sheetViews>
  <sheetFormatPr defaultColWidth="11.43359375" defaultRowHeight="15" x14ac:dyDescent="0.2"/>
  <cols>
    <col min="1" max="1" width="6.859375" style="11" bestFit="1" customWidth="1"/>
    <col min="2" max="2" width="10.76171875" style="11" customWidth="1"/>
    <col min="3" max="3" width="6.72265625" style="11" bestFit="1" customWidth="1"/>
    <col min="4" max="4" width="12.9140625" style="11" hidden="1" customWidth="1"/>
    <col min="5" max="5" width="16.0078125" style="11" hidden="1" customWidth="1"/>
    <col min="6" max="6" width="22.734375" style="11" customWidth="1"/>
    <col min="7" max="7" width="9.14453125" style="11" customWidth="1"/>
    <col min="8" max="8" width="12.10546875" style="11" customWidth="1"/>
    <col min="9" max="9" width="8.875" style="11" customWidth="1"/>
    <col min="10" max="10" width="7.26171875" style="11" customWidth="1"/>
    <col min="11" max="11" width="15.46875" style="11" hidden="1" customWidth="1"/>
    <col min="12" max="12" width="15.87109375" style="11" hidden="1" customWidth="1"/>
    <col min="13" max="13" width="11.56640625" style="11" bestFit="1" customWidth="1"/>
    <col min="14" max="14" width="12.64453125" style="11" bestFit="1" customWidth="1"/>
    <col min="15" max="15" width="17.62109375" style="11" customWidth="1"/>
    <col min="16" max="16" width="19.234375" style="11" customWidth="1"/>
    <col min="17" max="17" width="11.56640625" style="11" bestFit="1" customWidth="1"/>
    <col min="18" max="18" width="11.1640625" style="11" customWidth="1"/>
    <col min="19" max="19" width="12.23828125" style="11" customWidth="1"/>
    <col min="20" max="16384" width="11.43359375" style="11"/>
  </cols>
  <sheetData>
    <row r="1" spans="1:19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45" customHeight="1" x14ac:dyDescent="0.2">
      <c r="A2" s="24" t="s">
        <v>1</v>
      </c>
      <c r="B2" s="24"/>
      <c r="C2" s="24"/>
      <c r="D2" s="25" t="s">
        <v>49</v>
      </c>
      <c r="E2" s="25"/>
      <c r="F2" s="25"/>
      <c r="G2" s="26" t="s">
        <v>33</v>
      </c>
      <c r="H2" s="26"/>
      <c r="I2" s="26"/>
      <c r="J2" s="26"/>
      <c r="K2" s="26"/>
      <c r="L2" s="26"/>
      <c r="M2" s="26"/>
      <c r="N2" s="25" t="s">
        <v>164</v>
      </c>
      <c r="O2" s="25"/>
      <c r="P2" s="25"/>
      <c r="Q2" s="25" t="s">
        <v>32</v>
      </c>
      <c r="R2" s="25"/>
      <c r="S2" s="25"/>
    </row>
    <row r="3" spans="1:19" x14ac:dyDescent="0.2">
      <c r="A3" s="24" t="s">
        <v>24</v>
      </c>
      <c r="B3" s="24"/>
      <c r="C3" s="24"/>
      <c r="D3" s="24"/>
      <c r="E3" s="24"/>
      <c r="F3" s="24" t="s">
        <v>20</v>
      </c>
      <c r="G3" s="24"/>
      <c r="H3" s="24"/>
      <c r="I3" s="24"/>
      <c r="J3" s="24"/>
      <c r="K3" s="24" t="s">
        <v>21</v>
      </c>
      <c r="L3" s="24"/>
      <c r="M3" s="24" t="s">
        <v>22</v>
      </c>
      <c r="N3" s="24"/>
      <c r="O3" s="24"/>
      <c r="P3" s="16" t="s">
        <v>23</v>
      </c>
      <c r="Q3" s="24" t="s">
        <v>24</v>
      </c>
      <c r="R3" s="24"/>
      <c r="S3" s="24"/>
    </row>
    <row r="4" spans="1:19" ht="68.25" x14ac:dyDescent="0.2">
      <c r="A4" s="16" t="s">
        <v>14</v>
      </c>
      <c r="B4" s="16" t="s">
        <v>2</v>
      </c>
      <c r="C4" s="16" t="s">
        <v>15</v>
      </c>
      <c r="D4" s="1" t="s">
        <v>19</v>
      </c>
      <c r="E4" s="16" t="s">
        <v>7</v>
      </c>
      <c r="F4" s="16" t="s">
        <v>9</v>
      </c>
      <c r="G4" s="16" t="s">
        <v>8</v>
      </c>
      <c r="H4" s="16" t="s">
        <v>10</v>
      </c>
      <c r="I4" s="16" t="s">
        <v>12</v>
      </c>
      <c r="J4" s="16" t="s">
        <v>11</v>
      </c>
      <c r="K4" s="16" t="s">
        <v>3</v>
      </c>
      <c r="L4" s="16" t="s">
        <v>16</v>
      </c>
      <c r="M4" s="1" t="s">
        <v>25</v>
      </c>
      <c r="N4" s="16" t="s">
        <v>17</v>
      </c>
      <c r="O4" s="16" t="s">
        <v>18</v>
      </c>
      <c r="P4" s="16" t="s">
        <v>23</v>
      </c>
      <c r="Q4" s="16" t="s">
        <v>6</v>
      </c>
      <c r="R4" s="1" t="s">
        <v>13</v>
      </c>
      <c r="S4" s="16" t="s">
        <v>4</v>
      </c>
    </row>
    <row r="5" spans="1:19" ht="27.75" x14ac:dyDescent="0.2">
      <c r="A5" s="5">
        <v>45992</v>
      </c>
      <c r="B5" s="3" t="s">
        <v>92</v>
      </c>
      <c r="C5" s="3">
        <v>10</v>
      </c>
      <c r="D5" s="3"/>
      <c r="E5" s="3"/>
      <c r="F5" s="3" t="s">
        <v>70</v>
      </c>
      <c r="G5" s="3" t="s">
        <v>51</v>
      </c>
      <c r="H5" s="3" t="s">
        <v>50</v>
      </c>
      <c r="I5" s="3">
        <v>11300</v>
      </c>
      <c r="J5" s="3" t="s">
        <v>157</v>
      </c>
      <c r="K5" s="3"/>
      <c r="L5" s="3"/>
      <c r="M5" s="15" t="s">
        <v>133</v>
      </c>
      <c r="N5" s="3"/>
      <c r="O5" s="3"/>
      <c r="P5" s="3"/>
      <c r="Q5" s="15" t="str">
        <f>M5</f>
        <v>PFMP03200</v>
      </c>
      <c r="R5" s="3"/>
      <c r="S5" s="3"/>
    </row>
    <row r="6" spans="1:19" ht="27.75" x14ac:dyDescent="0.2">
      <c r="A6" s="5">
        <v>45992</v>
      </c>
      <c r="B6" s="3" t="s">
        <v>154</v>
      </c>
      <c r="C6" s="3">
        <v>15</v>
      </c>
      <c r="D6" s="3"/>
      <c r="E6" s="3"/>
      <c r="F6" s="3" t="s">
        <v>71</v>
      </c>
      <c r="G6" s="3" t="s">
        <v>66</v>
      </c>
      <c r="H6" s="3" t="s">
        <v>50</v>
      </c>
      <c r="I6" s="3">
        <v>15600</v>
      </c>
      <c r="J6" s="3" t="s">
        <v>157</v>
      </c>
      <c r="K6" s="3"/>
      <c r="L6" s="3"/>
      <c r="M6" s="15" t="s">
        <v>134</v>
      </c>
      <c r="N6" s="3"/>
      <c r="O6" s="3"/>
      <c r="P6" s="3"/>
      <c r="Q6" s="15" t="str">
        <f t="shared" ref="Q6:Q49" si="0">M6</f>
        <v>PAMP40017</v>
      </c>
      <c r="R6" s="3"/>
      <c r="S6" s="3"/>
    </row>
    <row r="7" spans="1:19" ht="27.75" x14ac:dyDescent="0.2">
      <c r="A7" s="5">
        <v>45992</v>
      </c>
      <c r="B7" s="3" t="s">
        <v>153</v>
      </c>
      <c r="C7" s="3">
        <v>500</v>
      </c>
      <c r="D7" s="3"/>
      <c r="E7" s="3"/>
      <c r="F7" s="3" t="s">
        <v>68</v>
      </c>
      <c r="G7" s="3" t="s">
        <v>64</v>
      </c>
      <c r="H7" s="3" t="s">
        <v>50</v>
      </c>
      <c r="I7" s="3">
        <v>6246</v>
      </c>
      <c r="J7" s="3" t="s">
        <v>158</v>
      </c>
      <c r="K7" s="3"/>
      <c r="L7" s="3"/>
      <c r="M7" s="15" t="s">
        <v>135</v>
      </c>
      <c r="N7" s="3"/>
      <c r="O7" s="3"/>
      <c r="P7" s="3"/>
      <c r="Q7" s="15" t="str">
        <f t="shared" si="0"/>
        <v>PGBP04001</v>
      </c>
      <c r="R7" s="3"/>
      <c r="S7" s="3"/>
    </row>
    <row r="8" spans="1:19" ht="27.75" x14ac:dyDescent="0.2">
      <c r="A8" s="5">
        <v>45994</v>
      </c>
      <c r="B8" s="3" t="s">
        <v>155</v>
      </c>
      <c r="C8" s="3">
        <v>20</v>
      </c>
      <c r="D8" s="3"/>
      <c r="E8" s="3"/>
      <c r="F8" s="3" t="s">
        <v>67</v>
      </c>
      <c r="G8" s="3" t="s">
        <v>34</v>
      </c>
      <c r="H8" s="3" t="s">
        <v>50</v>
      </c>
      <c r="I8" s="3">
        <v>6000</v>
      </c>
      <c r="J8" s="3" t="s">
        <v>157</v>
      </c>
      <c r="K8" s="3"/>
      <c r="L8" s="3"/>
      <c r="M8" s="15" t="s">
        <v>136</v>
      </c>
      <c r="N8" s="3"/>
      <c r="O8" s="3"/>
      <c r="P8" s="3"/>
      <c r="Q8" s="15" t="str">
        <f t="shared" si="0"/>
        <v>PQCA01001</v>
      </c>
      <c r="R8" s="3"/>
      <c r="S8" s="3"/>
    </row>
    <row r="9" spans="1:19" ht="27.75" x14ac:dyDescent="0.2">
      <c r="A9" s="5">
        <v>45994</v>
      </c>
      <c r="B9" s="3" t="s">
        <v>155</v>
      </c>
      <c r="C9" s="3">
        <v>15</v>
      </c>
      <c r="D9" s="3"/>
      <c r="E9" s="3"/>
      <c r="F9" s="3" t="s">
        <v>69</v>
      </c>
      <c r="G9" s="3" t="s">
        <v>51</v>
      </c>
      <c r="H9" s="3" t="s">
        <v>50</v>
      </c>
      <c r="I9" s="3">
        <v>11300</v>
      </c>
      <c r="J9" s="3" t="s">
        <v>159</v>
      </c>
      <c r="K9" s="3"/>
      <c r="L9" s="3"/>
      <c r="M9" s="15" t="s">
        <v>137</v>
      </c>
      <c r="N9" s="3"/>
      <c r="O9" s="3"/>
      <c r="P9" s="3"/>
      <c r="Q9" s="15" t="str">
        <f t="shared" si="0"/>
        <v>PAMP03017</v>
      </c>
      <c r="R9" s="3"/>
      <c r="S9" s="3"/>
    </row>
    <row r="10" spans="1:19" ht="27.75" x14ac:dyDescent="0.2">
      <c r="A10" s="5">
        <v>45994</v>
      </c>
      <c r="B10" s="3" t="s">
        <v>155</v>
      </c>
      <c r="C10" s="3">
        <v>30</v>
      </c>
      <c r="D10" s="3"/>
      <c r="E10" s="3"/>
      <c r="F10" s="3" t="s">
        <v>71</v>
      </c>
      <c r="G10" s="3" t="s">
        <v>72</v>
      </c>
      <c r="H10" s="3" t="s">
        <v>50</v>
      </c>
      <c r="I10" s="3">
        <v>15600</v>
      </c>
      <c r="J10" s="3" t="s">
        <v>159</v>
      </c>
      <c r="K10" s="3"/>
      <c r="L10" s="3"/>
      <c r="M10" s="15" t="s">
        <v>134</v>
      </c>
      <c r="N10" s="3"/>
      <c r="O10" s="3"/>
      <c r="P10" s="3"/>
      <c r="Q10" s="15" t="str">
        <f t="shared" si="0"/>
        <v>PAMP40017</v>
      </c>
      <c r="R10" s="3"/>
      <c r="S10" s="3"/>
    </row>
    <row r="11" spans="1:19" ht="41.25" x14ac:dyDescent="0.2">
      <c r="A11" s="5">
        <v>45995</v>
      </c>
      <c r="B11" s="3" t="s">
        <v>154</v>
      </c>
      <c r="C11" s="3">
        <v>31</v>
      </c>
      <c r="D11" s="3"/>
      <c r="E11" s="3"/>
      <c r="F11" s="3"/>
      <c r="G11" s="3"/>
      <c r="H11" s="3"/>
      <c r="I11" s="3"/>
      <c r="J11" s="3"/>
      <c r="K11" s="3"/>
      <c r="L11" s="3"/>
      <c r="M11" s="15" t="s">
        <v>138</v>
      </c>
      <c r="N11" s="3" t="s">
        <v>76</v>
      </c>
      <c r="O11" s="3" t="s">
        <v>76</v>
      </c>
      <c r="P11" s="3"/>
      <c r="Q11" s="15" t="str">
        <f t="shared" si="0"/>
        <v>PPBP07006</v>
      </c>
      <c r="R11" s="3"/>
      <c r="S11" s="3"/>
    </row>
    <row r="12" spans="1:19" ht="41.25" x14ac:dyDescent="0.2">
      <c r="A12" s="5">
        <v>45995</v>
      </c>
      <c r="B12" s="3" t="s">
        <v>154</v>
      </c>
      <c r="C12" s="3">
        <v>1</v>
      </c>
      <c r="D12" s="3"/>
      <c r="E12" s="3"/>
      <c r="F12" s="3"/>
      <c r="G12" s="3"/>
      <c r="H12" s="3"/>
      <c r="I12" s="3"/>
      <c r="J12" s="3"/>
      <c r="K12" s="3"/>
      <c r="L12" s="3"/>
      <c r="M12" s="15" t="s">
        <v>139</v>
      </c>
      <c r="N12" s="3" t="s">
        <v>75</v>
      </c>
      <c r="O12" s="3" t="s">
        <v>75</v>
      </c>
      <c r="P12" s="3"/>
      <c r="Q12" s="15" t="str">
        <f t="shared" si="0"/>
        <v>PAMP04128</v>
      </c>
      <c r="R12" s="3"/>
      <c r="S12" s="3"/>
    </row>
    <row r="13" spans="1:19" ht="27.75" x14ac:dyDescent="0.2">
      <c r="A13" s="5">
        <v>45995</v>
      </c>
      <c r="B13" s="3" t="s">
        <v>156</v>
      </c>
      <c r="C13" s="3">
        <v>1</v>
      </c>
      <c r="D13" s="3"/>
      <c r="E13" s="3"/>
      <c r="F13" s="3"/>
      <c r="G13" s="3"/>
      <c r="H13" s="3"/>
      <c r="I13" s="3"/>
      <c r="J13" s="3"/>
      <c r="K13" s="3"/>
      <c r="L13" s="3"/>
      <c r="M13" s="15" t="s">
        <v>56</v>
      </c>
      <c r="N13" s="3"/>
      <c r="O13" s="3"/>
      <c r="P13" s="3" t="s">
        <v>79</v>
      </c>
      <c r="Q13" s="15" t="str">
        <f t="shared" si="0"/>
        <v>PCMP06040</v>
      </c>
      <c r="R13" s="3">
        <v>6000274</v>
      </c>
      <c r="S13" s="3" t="s">
        <v>160</v>
      </c>
    </row>
    <row r="14" spans="1:19" ht="27.75" x14ac:dyDescent="0.2">
      <c r="A14" s="5">
        <v>45995</v>
      </c>
      <c r="B14" s="3" t="s">
        <v>156</v>
      </c>
      <c r="C14" s="3">
        <v>7</v>
      </c>
      <c r="D14" s="3"/>
      <c r="E14" s="3"/>
      <c r="F14" s="3"/>
      <c r="G14" s="3"/>
      <c r="H14" s="3"/>
      <c r="I14" s="3"/>
      <c r="J14" s="3"/>
      <c r="K14" s="3"/>
      <c r="L14" s="3"/>
      <c r="M14" s="15" t="s">
        <v>63</v>
      </c>
      <c r="N14" s="3"/>
      <c r="O14" s="3"/>
      <c r="P14" s="3" t="s">
        <v>82</v>
      </c>
      <c r="Q14" s="15" t="str">
        <f t="shared" si="0"/>
        <v>PSMP05013</v>
      </c>
      <c r="R14" s="3">
        <v>6000274</v>
      </c>
      <c r="S14" s="3" t="s">
        <v>160</v>
      </c>
    </row>
    <row r="15" spans="1:19" ht="27.75" x14ac:dyDescent="0.2">
      <c r="A15" s="5">
        <v>45995</v>
      </c>
      <c r="B15" s="3" t="s">
        <v>156</v>
      </c>
      <c r="C15" s="3">
        <v>1</v>
      </c>
      <c r="D15" s="3"/>
      <c r="E15" s="3"/>
      <c r="F15" s="3"/>
      <c r="G15" s="3"/>
      <c r="H15" s="3"/>
      <c r="I15" s="3"/>
      <c r="J15" s="3"/>
      <c r="K15" s="3"/>
      <c r="L15" s="3"/>
      <c r="M15" s="15" t="s">
        <v>65</v>
      </c>
      <c r="N15" s="3"/>
      <c r="O15" s="3"/>
      <c r="P15" s="3" t="s">
        <v>83</v>
      </c>
      <c r="Q15" s="15" t="str">
        <f t="shared" si="0"/>
        <v>PFMP03120</v>
      </c>
      <c r="R15" s="3">
        <v>6000274</v>
      </c>
      <c r="S15" s="3" t="s">
        <v>160</v>
      </c>
    </row>
    <row r="16" spans="1:19" ht="27.75" x14ac:dyDescent="0.2">
      <c r="A16" s="5">
        <v>45995</v>
      </c>
      <c r="B16" s="3" t="s">
        <v>156</v>
      </c>
      <c r="C16" s="3">
        <v>10</v>
      </c>
      <c r="D16" s="3"/>
      <c r="E16" s="3"/>
      <c r="F16" s="3"/>
      <c r="G16" s="3"/>
      <c r="H16" s="3"/>
      <c r="I16" s="3"/>
      <c r="J16" s="3"/>
      <c r="K16" s="3"/>
      <c r="L16" s="3"/>
      <c r="M16" s="15" t="s">
        <v>53</v>
      </c>
      <c r="N16" s="3"/>
      <c r="O16" s="3"/>
      <c r="P16" s="3" t="s">
        <v>84</v>
      </c>
      <c r="Q16" s="15" t="str">
        <f t="shared" si="0"/>
        <v>PCBP04038</v>
      </c>
      <c r="R16" s="3">
        <v>6000274</v>
      </c>
      <c r="S16" s="3" t="s">
        <v>160</v>
      </c>
    </row>
    <row r="17" spans="1:19" ht="27.75" x14ac:dyDescent="0.2">
      <c r="A17" s="5">
        <v>45995</v>
      </c>
      <c r="B17" s="3" t="s">
        <v>156</v>
      </c>
      <c r="C17" s="3">
        <v>1</v>
      </c>
      <c r="D17" s="3"/>
      <c r="E17" s="3"/>
      <c r="F17" s="3"/>
      <c r="G17" s="3"/>
      <c r="H17" s="3"/>
      <c r="I17" s="3"/>
      <c r="J17" s="3"/>
      <c r="K17" s="3"/>
      <c r="L17" s="3"/>
      <c r="M17" s="15" t="s">
        <v>57</v>
      </c>
      <c r="N17" s="3"/>
      <c r="O17" s="3"/>
      <c r="P17" s="3" t="s">
        <v>85</v>
      </c>
      <c r="Q17" s="15" t="str">
        <f t="shared" si="0"/>
        <v>PPMP04017</v>
      </c>
      <c r="R17" s="3">
        <v>6000274</v>
      </c>
      <c r="S17" s="3" t="s">
        <v>160</v>
      </c>
    </row>
    <row r="18" spans="1:19" ht="27.75" x14ac:dyDescent="0.2">
      <c r="A18" s="5">
        <v>45995</v>
      </c>
      <c r="B18" s="3" t="s">
        <v>156</v>
      </c>
      <c r="C18" s="3">
        <v>1</v>
      </c>
      <c r="D18" s="3"/>
      <c r="E18" s="3"/>
      <c r="F18" s="3"/>
      <c r="G18" s="3"/>
      <c r="H18" s="3"/>
      <c r="I18" s="3"/>
      <c r="J18" s="3"/>
      <c r="K18" s="3"/>
      <c r="L18" s="3"/>
      <c r="M18" s="15" t="s">
        <v>61</v>
      </c>
      <c r="N18" s="3"/>
      <c r="O18" s="3"/>
      <c r="P18" s="3" t="s">
        <v>86</v>
      </c>
      <c r="Q18" s="15" t="str">
        <f t="shared" si="0"/>
        <v>PPCA01037</v>
      </c>
      <c r="R18" s="3">
        <v>6000274</v>
      </c>
      <c r="S18" s="3" t="s">
        <v>160</v>
      </c>
    </row>
    <row r="19" spans="1:19" ht="27.75" x14ac:dyDescent="0.2">
      <c r="A19" s="5">
        <v>45995</v>
      </c>
      <c r="B19" s="3" t="s">
        <v>156</v>
      </c>
      <c r="C19" s="3">
        <v>10</v>
      </c>
      <c r="D19" s="3"/>
      <c r="E19" s="3"/>
      <c r="F19" s="3"/>
      <c r="G19" s="3"/>
      <c r="H19" s="3"/>
      <c r="I19" s="3"/>
      <c r="J19" s="3"/>
      <c r="K19" s="3"/>
      <c r="L19" s="3"/>
      <c r="M19" s="15" t="s">
        <v>54</v>
      </c>
      <c r="N19" s="3"/>
      <c r="O19" s="3"/>
      <c r="P19" s="3" t="s">
        <v>87</v>
      </c>
      <c r="Q19" s="15" t="str">
        <f t="shared" si="0"/>
        <v>PCMP05035</v>
      </c>
      <c r="R19" s="3">
        <v>6000274</v>
      </c>
      <c r="S19" s="3" t="s">
        <v>160</v>
      </c>
    </row>
    <row r="20" spans="1:19" ht="27.75" x14ac:dyDescent="0.2">
      <c r="A20" s="5">
        <v>45995</v>
      </c>
      <c r="B20" s="3" t="s">
        <v>156</v>
      </c>
      <c r="C20" s="3">
        <v>13</v>
      </c>
      <c r="D20" s="3"/>
      <c r="E20" s="3"/>
      <c r="F20" s="3"/>
      <c r="G20" s="3"/>
      <c r="H20" s="3"/>
      <c r="I20" s="3"/>
      <c r="J20" s="3"/>
      <c r="K20" s="3"/>
      <c r="L20" s="3"/>
      <c r="M20" s="15" t="s">
        <v>55</v>
      </c>
      <c r="N20" s="3"/>
      <c r="O20" s="3"/>
      <c r="P20" s="3" t="s">
        <v>88</v>
      </c>
      <c r="Q20" s="15" t="str">
        <f t="shared" si="0"/>
        <v>PCBP04035</v>
      </c>
      <c r="R20" s="3">
        <v>6000274</v>
      </c>
      <c r="S20" s="3" t="s">
        <v>160</v>
      </c>
    </row>
    <row r="21" spans="1:19" ht="27.75" x14ac:dyDescent="0.2">
      <c r="A21" s="5">
        <v>45995</v>
      </c>
      <c r="B21" s="3" t="s">
        <v>156</v>
      </c>
      <c r="C21" s="3">
        <v>3</v>
      </c>
      <c r="D21" s="3"/>
      <c r="E21" s="3"/>
      <c r="F21" s="3"/>
      <c r="G21" s="3"/>
      <c r="H21" s="3"/>
      <c r="I21" s="3"/>
      <c r="J21" s="3"/>
      <c r="K21" s="3"/>
      <c r="L21" s="3"/>
      <c r="M21" s="11" t="s">
        <v>58</v>
      </c>
      <c r="N21" s="3"/>
      <c r="O21" s="3"/>
      <c r="P21" s="3" t="s">
        <v>89</v>
      </c>
      <c r="Q21" s="15" t="str">
        <f t="shared" si="0"/>
        <v>PDMP04103</v>
      </c>
      <c r="R21" s="3">
        <v>6000274</v>
      </c>
      <c r="S21" s="3" t="s">
        <v>160</v>
      </c>
    </row>
    <row r="22" spans="1:19" ht="27.75" x14ac:dyDescent="0.2">
      <c r="A22" s="5">
        <v>45995</v>
      </c>
      <c r="B22" s="3" t="s">
        <v>156</v>
      </c>
      <c r="C22" s="3">
        <v>1</v>
      </c>
      <c r="D22" s="3"/>
      <c r="E22" s="3"/>
      <c r="F22" s="3"/>
      <c r="G22" s="3"/>
      <c r="H22" s="3"/>
      <c r="I22" s="3"/>
      <c r="J22" s="3"/>
      <c r="K22" s="3"/>
      <c r="L22" s="3"/>
      <c r="M22" s="15" t="s">
        <v>80</v>
      </c>
      <c r="N22" s="3"/>
      <c r="O22" s="3"/>
      <c r="P22" s="3" t="s">
        <v>90</v>
      </c>
      <c r="Q22" s="15" t="str">
        <f t="shared" si="0"/>
        <v>PDMP04002</v>
      </c>
      <c r="R22" s="3">
        <v>6000274</v>
      </c>
      <c r="S22" s="3" t="s">
        <v>160</v>
      </c>
    </row>
    <row r="23" spans="1:19" ht="27.75" x14ac:dyDescent="0.2">
      <c r="A23" s="5">
        <v>45995</v>
      </c>
      <c r="B23" s="3" t="s">
        <v>156</v>
      </c>
      <c r="C23" s="3">
        <v>1</v>
      </c>
      <c r="D23" s="3"/>
      <c r="E23" s="3"/>
      <c r="F23" s="3"/>
      <c r="G23" s="3"/>
      <c r="H23" s="3"/>
      <c r="I23" s="3"/>
      <c r="J23" s="3"/>
      <c r="K23" s="3"/>
      <c r="L23" s="3"/>
      <c r="M23" s="15" t="s">
        <v>60</v>
      </c>
      <c r="N23" s="3"/>
      <c r="O23" s="3"/>
      <c r="P23" s="11" t="s">
        <v>59</v>
      </c>
      <c r="Q23" s="15" t="str">
        <f t="shared" si="0"/>
        <v>PPCA01039</v>
      </c>
      <c r="R23" s="3">
        <v>6000274</v>
      </c>
      <c r="S23" s="3" t="s">
        <v>160</v>
      </c>
    </row>
    <row r="24" spans="1:19" ht="27.75" x14ac:dyDescent="0.2">
      <c r="A24" s="5">
        <v>45995</v>
      </c>
      <c r="B24" s="3" t="s">
        <v>156</v>
      </c>
      <c r="C24" s="3">
        <v>1</v>
      </c>
      <c r="D24" s="3"/>
      <c r="E24" s="3"/>
      <c r="F24" s="3"/>
      <c r="G24" s="3"/>
      <c r="H24" s="3"/>
      <c r="I24" s="3"/>
      <c r="J24" s="3"/>
      <c r="K24" s="3"/>
      <c r="L24" s="3"/>
      <c r="M24" s="15" t="s">
        <v>81</v>
      </c>
      <c r="N24" s="3"/>
      <c r="O24" s="3"/>
      <c r="P24" s="11" t="s">
        <v>62</v>
      </c>
      <c r="Q24" s="15" t="str">
        <f t="shared" si="0"/>
        <v>PAMP06017</v>
      </c>
      <c r="R24" s="3">
        <v>6000274</v>
      </c>
      <c r="S24" s="3" t="s">
        <v>160</v>
      </c>
    </row>
    <row r="25" spans="1:19" ht="27.75" x14ac:dyDescent="0.2">
      <c r="A25" s="5">
        <v>45995</v>
      </c>
      <c r="B25" s="3" t="s">
        <v>156</v>
      </c>
      <c r="C25" s="3">
        <v>18</v>
      </c>
      <c r="D25" s="3"/>
      <c r="E25" s="3"/>
      <c r="F25" s="3"/>
      <c r="G25" s="3"/>
      <c r="H25" s="3"/>
      <c r="I25" s="3"/>
      <c r="J25" s="3"/>
      <c r="K25" s="3"/>
      <c r="L25" s="3"/>
      <c r="M25" s="11" t="s">
        <v>52</v>
      </c>
      <c r="N25" s="3"/>
      <c r="O25" s="3"/>
      <c r="P25" s="3" t="s">
        <v>91</v>
      </c>
      <c r="Q25" s="15" t="str">
        <f t="shared" si="0"/>
        <v>PAMP04021</v>
      </c>
      <c r="R25" s="3">
        <v>6000274</v>
      </c>
      <c r="S25" s="3" t="s">
        <v>160</v>
      </c>
    </row>
    <row r="26" spans="1:19" ht="27.75" x14ac:dyDescent="0.2">
      <c r="A26" s="5">
        <v>45995</v>
      </c>
      <c r="B26" s="3" t="s">
        <v>92</v>
      </c>
      <c r="C26" s="3">
        <v>9</v>
      </c>
      <c r="D26" s="3"/>
      <c r="E26" s="3"/>
      <c r="F26" s="3"/>
      <c r="G26" s="3"/>
      <c r="H26" s="3"/>
      <c r="I26" s="3"/>
      <c r="J26" s="3"/>
      <c r="K26" s="3"/>
      <c r="L26" s="3"/>
      <c r="M26" s="15" t="s">
        <v>58</v>
      </c>
      <c r="N26" s="3"/>
      <c r="O26" s="3"/>
      <c r="P26" s="3" t="s">
        <v>93</v>
      </c>
      <c r="Q26" s="15" t="str">
        <f t="shared" si="0"/>
        <v>PDMP04103</v>
      </c>
      <c r="R26" s="3"/>
      <c r="S26" s="3" t="s">
        <v>94</v>
      </c>
    </row>
    <row r="27" spans="1:19" ht="27.75" x14ac:dyDescent="0.2">
      <c r="A27" s="5">
        <v>45995</v>
      </c>
      <c r="B27" s="3" t="s">
        <v>92</v>
      </c>
      <c r="C27" s="3">
        <f>31+26</f>
        <v>57</v>
      </c>
      <c r="D27" s="3"/>
      <c r="E27" s="3"/>
      <c r="F27" s="3"/>
      <c r="G27" s="3"/>
      <c r="H27" s="3"/>
      <c r="I27" s="3"/>
      <c r="J27" s="3"/>
      <c r="K27" s="3"/>
      <c r="L27" s="3"/>
      <c r="M27" s="15" t="s">
        <v>57</v>
      </c>
      <c r="N27" s="3"/>
      <c r="O27" s="3"/>
      <c r="P27" s="3" t="s">
        <v>131</v>
      </c>
      <c r="Q27" s="15" t="str">
        <f t="shared" si="0"/>
        <v>PPMP04017</v>
      </c>
      <c r="R27" s="3"/>
      <c r="S27" s="3" t="s">
        <v>94</v>
      </c>
    </row>
    <row r="28" spans="1:19" ht="27.75" x14ac:dyDescent="0.2">
      <c r="A28" s="5">
        <v>45995</v>
      </c>
      <c r="B28" s="3" t="s">
        <v>92</v>
      </c>
      <c r="C28" s="3">
        <v>13</v>
      </c>
      <c r="D28" s="3"/>
      <c r="E28" s="3"/>
      <c r="F28" s="3"/>
      <c r="G28" s="3"/>
      <c r="H28" s="3"/>
      <c r="I28" s="3"/>
      <c r="J28" s="3"/>
      <c r="K28" s="3"/>
      <c r="L28" s="3"/>
      <c r="M28" s="15" t="s">
        <v>140</v>
      </c>
      <c r="N28" s="3"/>
      <c r="O28" s="3"/>
      <c r="P28" s="3" t="s">
        <v>141</v>
      </c>
      <c r="Q28" s="15" t="str">
        <f t="shared" si="0"/>
        <v>PJMP04006</v>
      </c>
      <c r="R28" s="3"/>
      <c r="S28" s="3" t="s">
        <v>94</v>
      </c>
    </row>
    <row r="29" spans="1:19" ht="27.75" x14ac:dyDescent="0.2">
      <c r="A29" s="5">
        <v>45995</v>
      </c>
      <c r="B29" s="3" t="s">
        <v>92</v>
      </c>
      <c r="C29" s="3">
        <v>9</v>
      </c>
      <c r="D29" s="3"/>
      <c r="E29" s="3"/>
      <c r="F29" s="3"/>
      <c r="G29" s="3"/>
      <c r="H29" s="3"/>
      <c r="I29" s="3"/>
      <c r="J29" s="3"/>
      <c r="K29" s="3"/>
      <c r="L29" s="3"/>
      <c r="M29" s="15" t="s">
        <v>54</v>
      </c>
      <c r="N29" s="3"/>
      <c r="O29" s="3"/>
      <c r="P29" s="3" t="s">
        <v>95</v>
      </c>
      <c r="Q29" s="15" t="str">
        <f t="shared" si="0"/>
        <v>PCMP05035</v>
      </c>
      <c r="R29" s="3"/>
      <c r="S29" s="3" t="s">
        <v>94</v>
      </c>
    </row>
    <row r="30" spans="1:19" ht="27.75" x14ac:dyDescent="0.2">
      <c r="A30" s="5">
        <v>45995</v>
      </c>
      <c r="B30" s="3" t="s">
        <v>92</v>
      </c>
      <c r="C30" s="3">
        <v>15</v>
      </c>
      <c r="D30" s="3"/>
      <c r="E30" s="3"/>
      <c r="F30" s="3"/>
      <c r="G30" s="3"/>
      <c r="H30" s="3"/>
      <c r="I30" s="3"/>
      <c r="J30" s="3"/>
      <c r="K30" s="3"/>
      <c r="L30" s="3"/>
      <c r="M30" s="15" t="s">
        <v>142</v>
      </c>
      <c r="N30" s="3"/>
      <c r="O30" s="3"/>
      <c r="P30" s="3" t="s">
        <v>96</v>
      </c>
      <c r="Q30" s="15" t="str">
        <f t="shared" si="0"/>
        <v>PCMP05036</v>
      </c>
      <c r="R30" s="3"/>
      <c r="S30" s="3" t="s">
        <v>94</v>
      </c>
    </row>
    <row r="31" spans="1:19" ht="27.75" x14ac:dyDescent="0.2">
      <c r="A31" s="5">
        <v>45995</v>
      </c>
      <c r="B31" s="3" t="s">
        <v>92</v>
      </c>
      <c r="C31" s="3">
        <v>38</v>
      </c>
      <c r="D31" s="3"/>
      <c r="E31" s="3"/>
      <c r="F31" s="3"/>
      <c r="G31" s="3"/>
      <c r="H31" s="3"/>
      <c r="I31" s="3"/>
      <c r="J31" s="3"/>
      <c r="K31" s="3"/>
      <c r="L31" s="3"/>
      <c r="M31" s="15" t="s">
        <v>143</v>
      </c>
      <c r="N31" s="3"/>
      <c r="O31" s="3"/>
      <c r="P31" s="3" t="s">
        <v>97</v>
      </c>
      <c r="Q31" s="15" t="str">
        <f t="shared" si="0"/>
        <v>PCMP05039</v>
      </c>
      <c r="R31" s="3"/>
      <c r="S31" s="3" t="s">
        <v>94</v>
      </c>
    </row>
    <row r="32" spans="1:19" ht="27.75" x14ac:dyDescent="0.2">
      <c r="A32" s="5">
        <v>45995</v>
      </c>
      <c r="B32" s="3" t="s">
        <v>92</v>
      </c>
      <c r="C32" s="3">
        <v>18</v>
      </c>
      <c r="D32" s="3"/>
      <c r="E32" s="3"/>
      <c r="F32" s="3"/>
      <c r="G32" s="3"/>
      <c r="H32" s="3"/>
      <c r="I32" s="3"/>
      <c r="J32" s="3"/>
      <c r="K32" s="3"/>
      <c r="L32" s="3"/>
      <c r="M32" s="15" t="s">
        <v>144</v>
      </c>
      <c r="N32" s="3"/>
      <c r="O32" s="3"/>
      <c r="P32" s="3" t="s">
        <v>98</v>
      </c>
      <c r="Q32" s="15" t="str">
        <f t="shared" si="0"/>
        <v>PCMP05040</v>
      </c>
      <c r="R32" s="3"/>
      <c r="S32" s="3" t="s">
        <v>94</v>
      </c>
    </row>
    <row r="33" spans="1:19" ht="27.75" x14ac:dyDescent="0.2">
      <c r="A33" s="5">
        <v>45995</v>
      </c>
      <c r="B33" s="3" t="s">
        <v>92</v>
      </c>
      <c r="C33" s="3">
        <v>10</v>
      </c>
      <c r="D33" s="3"/>
      <c r="E33" s="3"/>
      <c r="F33" s="3"/>
      <c r="G33" s="3"/>
      <c r="H33" s="3"/>
      <c r="I33" s="3"/>
      <c r="J33" s="3"/>
      <c r="K33" s="3"/>
      <c r="L33" s="3"/>
      <c r="M33" s="15" t="s">
        <v>58</v>
      </c>
      <c r="N33" s="3"/>
      <c r="O33" s="3"/>
      <c r="P33" s="3" t="s">
        <v>99</v>
      </c>
      <c r="Q33" s="15" t="str">
        <f t="shared" si="0"/>
        <v>PDMP04103</v>
      </c>
      <c r="R33" s="3"/>
      <c r="S33" s="3" t="s">
        <v>94</v>
      </c>
    </row>
    <row r="34" spans="1:19" ht="27.75" x14ac:dyDescent="0.2">
      <c r="A34" s="5">
        <v>45995</v>
      </c>
      <c r="B34" s="3" t="s">
        <v>92</v>
      </c>
      <c r="C34" s="3">
        <v>11</v>
      </c>
      <c r="D34" s="3"/>
      <c r="E34" s="3"/>
      <c r="F34" s="3"/>
      <c r="G34" s="3"/>
      <c r="H34" s="3"/>
      <c r="I34" s="3"/>
      <c r="J34" s="3"/>
      <c r="K34" s="3"/>
      <c r="L34" s="3"/>
      <c r="M34" s="15" t="s">
        <v>145</v>
      </c>
      <c r="N34" s="3"/>
      <c r="O34" s="3"/>
      <c r="P34" s="3" t="s">
        <v>100</v>
      </c>
      <c r="Q34" s="15" t="str">
        <f t="shared" si="0"/>
        <v>PAMP11038</v>
      </c>
      <c r="R34" s="3"/>
      <c r="S34" s="3" t="s">
        <v>101</v>
      </c>
    </row>
    <row r="35" spans="1:19" ht="27.75" x14ac:dyDescent="0.2">
      <c r="A35" s="5">
        <v>45995</v>
      </c>
      <c r="B35" s="3" t="s">
        <v>92</v>
      </c>
      <c r="C35" s="3">
        <v>3</v>
      </c>
      <c r="D35" s="3"/>
      <c r="E35" s="3"/>
      <c r="F35" s="3"/>
      <c r="G35" s="3"/>
      <c r="H35" s="3"/>
      <c r="I35" s="3"/>
      <c r="J35" s="3"/>
      <c r="K35" s="3"/>
      <c r="L35" s="3"/>
      <c r="M35" s="15" t="s">
        <v>146</v>
      </c>
      <c r="N35" s="3"/>
      <c r="O35" s="3"/>
      <c r="P35" s="3" t="s">
        <v>102</v>
      </c>
      <c r="Q35" s="15" t="str">
        <f t="shared" si="0"/>
        <v>PSBP04003</v>
      </c>
      <c r="R35" s="3"/>
      <c r="S35" s="3" t="s">
        <v>101</v>
      </c>
    </row>
    <row r="36" spans="1:19" ht="27.75" x14ac:dyDescent="0.2">
      <c r="A36" s="5">
        <v>45995</v>
      </c>
      <c r="B36" s="3" t="s">
        <v>92</v>
      </c>
      <c r="C36" s="3">
        <v>30</v>
      </c>
      <c r="D36" s="3"/>
      <c r="E36" s="3"/>
      <c r="F36" s="3"/>
      <c r="G36" s="3"/>
      <c r="H36" s="3"/>
      <c r="I36" s="3"/>
      <c r="J36" s="3"/>
      <c r="K36" s="3"/>
      <c r="L36" s="3"/>
      <c r="M36" s="15" t="s">
        <v>147</v>
      </c>
      <c r="N36" s="3"/>
      <c r="O36" s="3"/>
      <c r="P36" s="3" t="s">
        <v>103</v>
      </c>
      <c r="Q36" s="15" t="str">
        <f t="shared" si="0"/>
        <v>PCBP04040</v>
      </c>
      <c r="R36" s="3"/>
      <c r="S36" s="3" t="s">
        <v>104</v>
      </c>
    </row>
    <row r="37" spans="1:19" ht="27.75" x14ac:dyDescent="0.2">
      <c r="A37" s="5">
        <v>45995</v>
      </c>
      <c r="B37" s="3" t="s">
        <v>92</v>
      </c>
      <c r="C37" s="3">
        <v>40</v>
      </c>
      <c r="D37" s="3"/>
      <c r="E37" s="3"/>
      <c r="F37" s="3"/>
      <c r="G37" s="3"/>
      <c r="H37" s="3"/>
      <c r="I37" s="3"/>
      <c r="J37" s="3"/>
      <c r="K37" s="3"/>
      <c r="L37" s="3"/>
      <c r="M37" s="15" t="s">
        <v>148</v>
      </c>
      <c r="N37" s="3"/>
      <c r="O37" s="3"/>
      <c r="P37" s="3" t="s">
        <v>105</v>
      </c>
      <c r="Q37" s="15" t="str">
        <f t="shared" si="0"/>
        <v>PCBP04037</v>
      </c>
      <c r="R37" s="3"/>
      <c r="S37" s="3" t="s">
        <v>104</v>
      </c>
    </row>
    <row r="38" spans="1:19" ht="81" x14ac:dyDescent="0.2">
      <c r="A38" s="5">
        <v>45995</v>
      </c>
      <c r="B38" s="3" t="s">
        <v>92</v>
      </c>
      <c r="C38" s="3">
        <v>114</v>
      </c>
      <c r="D38" s="3"/>
      <c r="E38" s="3"/>
      <c r="F38" s="3"/>
      <c r="G38" s="3"/>
      <c r="H38" s="3"/>
      <c r="I38" s="3"/>
      <c r="J38" s="3"/>
      <c r="K38" s="3"/>
      <c r="L38" s="3"/>
      <c r="M38" s="15" t="s">
        <v>106</v>
      </c>
      <c r="N38" s="3"/>
      <c r="O38" s="3"/>
      <c r="P38" s="3" t="s">
        <v>107</v>
      </c>
      <c r="Q38" s="15" t="str">
        <f t="shared" si="0"/>
        <v>PBMP04011</v>
      </c>
      <c r="R38" s="3"/>
      <c r="S38" s="3" t="s">
        <v>108</v>
      </c>
    </row>
    <row r="39" spans="1:19" ht="27.75" x14ac:dyDescent="0.2">
      <c r="A39" s="5">
        <v>45995</v>
      </c>
      <c r="B39" s="3" t="s">
        <v>92</v>
      </c>
      <c r="C39" s="3">
        <v>18</v>
      </c>
      <c r="D39" s="3"/>
      <c r="E39" s="3"/>
      <c r="F39" s="3"/>
      <c r="G39" s="3"/>
      <c r="H39" s="3"/>
      <c r="I39" s="3"/>
      <c r="J39" s="3"/>
      <c r="K39" s="3"/>
      <c r="L39" s="3"/>
      <c r="M39" s="15" t="s">
        <v>149</v>
      </c>
      <c r="N39" s="3"/>
      <c r="O39" s="3"/>
      <c r="P39" s="3" t="s">
        <v>109</v>
      </c>
      <c r="Q39" s="15" t="str">
        <f t="shared" si="0"/>
        <v>PABP04040</v>
      </c>
      <c r="R39" s="3"/>
      <c r="S39" s="3" t="s">
        <v>110</v>
      </c>
    </row>
    <row r="40" spans="1:19" ht="68.25" x14ac:dyDescent="0.2">
      <c r="A40" s="5">
        <v>45995</v>
      </c>
      <c r="B40" s="3" t="s">
        <v>92</v>
      </c>
      <c r="C40" s="3">
        <v>10</v>
      </c>
      <c r="D40" s="3"/>
      <c r="E40" s="3"/>
      <c r="F40" s="3"/>
      <c r="G40" s="3"/>
      <c r="H40" s="3"/>
      <c r="I40" s="3"/>
      <c r="J40" s="3"/>
      <c r="K40" s="3"/>
      <c r="L40" s="3"/>
      <c r="M40" s="15" t="s">
        <v>150</v>
      </c>
      <c r="N40" s="3"/>
      <c r="O40" s="3"/>
      <c r="P40" s="3" t="s">
        <v>163</v>
      </c>
      <c r="Q40" s="15" t="str">
        <f t="shared" si="0"/>
        <v>PCMP06065</v>
      </c>
      <c r="R40" s="3"/>
      <c r="S40" s="3" t="s">
        <v>111</v>
      </c>
    </row>
    <row r="41" spans="1:19" ht="94.5" x14ac:dyDescent="0.2">
      <c r="A41" s="5">
        <v>45995</v>
      </c>
      <c r="B41" s="3" t="s">
        <v>92</v>
      </c>
      <c r="C41" s="3">
        <v>25</v>
      </c>
      <c r="D41" s="3"/>
      <c r="E41" s="3"/>
      <c r="F41" s="3"/>
      <c r="G41" s="3"/>
      <c r="H41" s="3"/>
      <c r="I41" s="3"/>
      <c r="J41" s="3"/>
      <c r="K41" s="3"/>
      <c r="L41" s="3"/>
      <c r="M41" s="15" t="s">
        <v>112</v>
      </c>
      <c r="N41" s="3"/>
      <c r="O41" s="3"/>
      <c r="P41" s="3" t="s">
        <v>113</v>
      </c>
      <c r="Q41" s="15" t="str">
        <f t="shared" si="0"/>
        <v>PCBP07100</v>
      </c>
      <c r="R41" s="21"/>
      <c r="S41" s="3" t="s">
        <v>114</v>
      </c>
    </row>
    <row r="42" spans="1:19" ht="27.75" x14ac:dyDescent="0.2">
      <c r="A42" s="5">
        <v>46000</v>
      </c>
      <c r="B42" s="3"/>
      <c r="C42" s="3">
        <v>20</v>
      </c>
      <c r="D42" s="3"/>
      <c r="E42" s="3"/>
      <c r="F42" s="3"/>
      <c r="G42" s="3"/>
      <c r="H42" s="3"/>
      <c r="I42" s="3"/>
      <c r="J42" s="3"/>
      <c r="K42" s="3"/>
      <c r="L42" s="3"/>
      <c r="M42" s="15"/>
      <c r="N42" s="3" t="s">
        <v>73</v>
      </c>
      <c r="O42" s="3" t="s">
        <v>74</v>
      </c>
      <c r="P42" s="3"/>
      <c r="Q42" s="15" t="s">
        <v>151</v>
      </c>
      <c r="R42" s="3"/>
      <c r="S42" s="3"/>
    </row>
    <row r="43" spans="1:19" x14ac:dyDescent="0.2">
      <c r="A43" s="5">
        <v>46001</v>
      </c>
      <c r="B43" s="3" t="s">
        <v>115</v>
      </c>
      <c r="C43" s="3">
        <f>37-32</f>
        <v>5</v>
      </c>
      <c r="D43" s="3"/>
      <c r="E43" s="3"/>
      <c r="F43" s="3"/>
      <c r="G43" s="3"/>
      <c r="H43" s="3"/>
      <c r="I43" s="3"/>
      <c r="J43" s="3"/>
      <c r="K43" s="3"/>
      <c r="L43" s="3"/>
      <c r="M43" s="15" t="s">
        <v>117</v>
      </c>
      <c r="N43" s="3"/>
      <c r="O43" s="3"/>
      <c r="P43" s="22" t="s">
        <v>118</v>
      </c>
      <c r="Q43" s="15" t="str">
        <f t="shared" si="0"/>
        <v>PCBP04104</v>
      </c>
      <c r="R43" s="3"/>
      <c r="S43" s="3" t="s">
        <v>101</v>
      </c>
    </row>
    <row r="44" spans="1:19" ht="41.25" x14ac:dyDescent="0.2">
      <c r="A44" s="5">
        <v>46001</v>
      </c>
      <c r="B44" s="3" t="s">
        <v>115</v>
      </c>
      <c r="C44" s="3">
        <f>45-9</f>
        <v>36</v>
      </c>
      <c r="D44" s="3"/>
      <c r="E44" s="3"/>
      <c r="F44" s="3"/>
      <c r="G44" s="3"/>
      <c r="H44" s="3"/>
      <c r="I44" s="3"/>
      <c r="J44" s="3"/>
      <c r="K44" s="3"/>
      <c r="L44" s="3"/>
      <c r="M44" s="15" t="s">
        <v>119</v>
      </c>
      <c r="N44" s="3"/>
      <c r="O44" s="3"/>
      <c r="P44" s="22" t="s">
        <v>120</v>
      </c>
      <c r="Q44" s="15" t="str">
        <f t="shared" si="0"/>
        <v>PCBP04102</v>
      </c>
      <c r="R44" s="3"/>
      <c r="S44" s="3" t="s">
        <v>121</v>
      </c>
    </row>
    <row r="45" spans="1:19" ht="68.25" x14ac:dyDescent="0.2">
      <c r="A45" s="5">
        <v>46001</v>
      </c>
      <c r="B45" s="3" t="s">
        <v>115</v>
      </c>
      <c r="C45" s="3">
        <v>59</v>
      </c>
      <c r="D45" s="3"/>
      <c r="E45" s="3"/>
      <c r="F45" s="3"/>
      <c r="G45" s="3"/>
      <c r="H45" s="3"/>
      <c r="I45" s="3"/>
      <c r="J45" s="3"/>
      <c r="K45" s="3"/>
      <c r="L45" s="3"/>
      <c r="M45" s="15" t="s">
        <v>122</v>
      </c>
      <c r="N45" s="3"/>
      <c r="O45" s="3"/>
      <c r="P45" s="22" t="s">
        <v>123</v>
      </c>
      <c r="Q45" s="15" t="str">
        <f t="shared" si="0"/>
        <v>PABP07013</v>
      </c>
      <c r="R45" s="3"/>
      <c r="S45" s="3" t="s">
        <v>124</v>
      </c>
    </row>
    <row r="46" spans="1:19" ht="54.75" x14ac:dyDescent="0.2">
      <c r="A46" s="5">
        <v>46001</v>
      </c>
      <c r="B46" s="3" t="s">
        <v>115</v>
      </c>
      <c r="C46" s="3">
        <v>75</v>
      </c>
      <c r="D46" s="3"/>
      <c r="E46" s="3"/>
      <c r="F46" s="3"/>
      <c r="G46" s="3"/>
      <c r="H46" s="3"/>
      <c r="I46" s="3"/>
      <c r="J46" s="3"/>
      <c r="K46" s="3"/>
      <c r="L46" s="3"/>
      <c r="M46" s="15" t="s">
        <v>125</v>
      </c>
      <c r="N46" s="3"/>
      <c r="O46" s="3"/>
      <c r="P46" s="22" t="s">
        <v>132</v>
      </c>
      <c r="Q46" s="15" t="str">
        <f t="shared" si="0"/>
        <v>PJBP04006</v>
      </c>
      <c r="R46" s="3"/>
      <c r="S46" s="3" t="s">
        <v>126</v>
      </c>
    </row>
    <row r="47" spans="1:19" ht="27.75" x14ac:dyDescent="0.2">
      <c r="A47" s="5">
        <v>46001</v>
      </c>
      <c r="B47" s="3" t="s">
        <v>115</v>
      </c>
      <c r="C47" s="3">
        <v>6</v>
      </c>
      <c r="D47" s="3"/>
      <c r="E47" s="3"/>
      <c r="F47" s="3"/>
      <c r="G47" s="3"/>
      <c r="H47" s="3"/>
      <c r="I47" s="3"/>
      <c r="J47" s="3"/>
      <c r="K47" s="3"/>
      <c r="L47" s="3"/>
      <c r="M47" s="15" t="s">
        <v>151</v>
      </c>
      <c r="N47" s="3"/>
      <c r="O47" s="3"/>
      <c r="P47" s="3" t="s">
        <v>127</v>
      </c>
      <c r="Q47" s="15" t="str">
        <f t="shared" si="0"/>
        <v>PAMP03119</v>
      </c>
      <c r="R47" s="3"/>
      <c r="S47" s="3" t="s">
        <v>116</v>
      </c>
    </row>
    <row r="48" spans="1:19" ht="27.75" x14ac:dyDescent="0.2">
      <c r="A48" s="5">
        <v>46001</v>
      </c>
      <c r="B48" s="3" t="s">
        <v>115</v>
      </c>
      <c r="C48" s="3">
        <v>75</v>
      </c>
      <c r="D48" s="3"/>
      <c r="E48" s="3"/>
      <c r="F48" s="3"/>
      <c r="G48" s="3"/>
      <c r="H48" s="3"/>
      <c r="I48" s="3"/>
      <c r="J48" s="3"/>
      <c r="K48" s="3"/>
      <c r="L48" s="3"/>
      <c r="M48" s="15" t="s">
        <v>152</v>
      </c>
      <c r="N48" s="3"/>
      <c r="O48" s="3"/>
      <c r="P48" s="3" t="s">
        <v>128</v>
      </c>
      <c r="Q48" s="15" t="str">
        <f t="shared" si="0"/>
        <v>PABP04066</v>
      </c>
      <c r="R48" s="3"/>
      <c r="S48" s="3" t="s">
        <v>94</v>
      </c>
    </row>
    <row r="49" spans="1:19" ht="68.25" x14ac:dyDescent="0.2">
      <c r="A49" s="5">
        <v>46001</v>
      </c>
      <c r="B49" s="3" t="s">
        <v>115</v>
      </c>
      <c r="C49" s="3">
        <v>100</v>
      </c>
      <c r="D49" s="3"/>
      <c r="E49" s="3"/>
      <c r="F49" s="3"/>
      <c r="G49" s="3"/>
      <c r="H49" s="3"/>
      <c r="I49" s="3"/>
      <c r="J49" s="3"/>
      <c r="K49" s="3"/>
      <c r="L49" s="3"/>
      <c r="M49" s="15" t="s">
        <v>129</v>
      </c>
      <c r="N49" s="3"/>
      <c r="O49" s="3"/>
      <c r="P49" s="20" t="s">
        <v>161</v>
      </c>
      <c r="Q49" s="15" t="str">
        <f t="shared" si="0"/>
        <v>PSBP04027</v>
      </c>
      <c r="R49" s="3"/>
      <c r="S49" s="3" t="s">
        <v>130</v>
      </c>
    </row>
    <row r="50" spans="1:19" ht="41.25" x14ac:dyDescent="0.2">
      <c r="A50" s="5">
        <v>46001</v>
      </c>
      <c r="B50" s="3" t="s">
        <v>154</v>
      </c>
      <c r="C50" s="3">
        <v>8</v>
      </c>
      <c r="D50" s="3"/>
      <c r="E50" s="3"/>
      <c r="F50" s="3"/>
      <c r="G50" s="3"/>
      <c r="H50" s="3"/>
      <c r="I50" s="3"/>
      <c r="J50" s="3"/>
      <c r="K50" s="3"/>
      <c r="L50" s="3"/>
      <c r="M50" s="15" t="s">
        <v>119</v>
      </c>
      <c r="N50" s="3" t="s">
        <v>77</v>
      </c>
      <c r="O50" s="3" t="s">
        <v>77</v>
      </c>
      <c r="P50" s="3"/>
      <c r="Q50" s="15" t="str">
        <f>M50</f>
        <v>PCBP04102</v>
      </c>
      <c r="R50" s="3"/>
      <c r="S50" s="3"/>
    </row>
    <row r="51" spans="1:19" ht="27.75" x14ac:dyDescent="0.2">
      <c r="A51" s="5">
        <v>46001</v>
      </c>
      <c r="B51" s="3" t="s">
        <v>154</v>
      </c>
      <c r="C51" s="3">
        <v>29</v>
      </c>
      <c r="D51" s="3"/>
      <c r="E51" s="3"/>
      <c r="F51" s="3"/>
      <c r="G51" s="3"/>
      <c r="H51" s="3"/>
      <c r="I51" s="3"/>
      <c r="J51" s="3"/>
      <c r="K51" s="3"/>
      <c r="L51" s="3"/>
      <c r="M51" s="15" t="s">
        <v>117</v>
      </c>
      <c r="N51" s="3" t="s">
        <v>78</v>
      </c>
      <c r="O51" s="3" t="s">
        <v>78</v>
      </c>
      <c r="P51" s="3"/>
      <c r="Q51" s="15" t="str">
        <f>M51</f>
        <v>PCBP04104</v>
      </c>
      <c r="R51" s="3"/>
      <c r="S51" s="3"/>
    </row>
  </sheetData>
  <mergeCells count="12">
    <mergeCell ref="A3:C3"/>
    <mergeCell ref="M3:O3"/>
    <mergeCell ref="A1:S1"/>
    <mergeCell ref="D2:F2"/>
    <mergeCell ref="G2:M2"/>
    <mergeCell ref="N2:P2"/>
    <mergeCell ref="Q3:S3"/>
    <mergeCell ref="Q2:S2"/>
    <mergeCell ref="D3:E3"/>
    <mergeCell ref="K3:L3"/>
    <mergeCell ref="F3:J3"/>
    <mergeCell ref="A2:C2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75" orientation="landscape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51"/>
  <sheetViews>
    <sheetView workbookViewId="0">
      <selection activeCell="F57" sqref="F57"/>
    </sheetView>
  </sheetViews>
  <sheetFormatPr defaultColWidth="10.76171875" defaultRowHeight="15" x14ac:dyDescent="0.2"/>
  <cols>
    <col min="1" max="1" width="11.8359375" style="9" bestFit="1" customWidth="1"/>
    <col min="2" max="2" width="12.10546875" bestFit="1" customWidth="1"/>
    <col min="3" max="3" width="11.8359375" bestFit="1" customWidth="1"/>
    <col min="4" max="4" width="8.875" bestFit="1" customWidth="1"/>
    <col min="5" max="5" width="23.80859375" bestFit="1" customWidth="1"/>
    <col min="6" max="6" width="14.52734375" bestFit="1" customWidth="1"/>
    <col min="7" max="7" width="11.02734375" bestFit="1" customWidth="1"/>
    <col min="8" max="8" width="9.28125" bestFit="1" customWidth="1"/>
    <col min="9" max="9" width="10.35546875" bestFit="1" customWidth="1"/>
    <col min="10" max="10" width="11.296875" bestFit="1" customWidth="1"/>
  </cols>
  <sheetData>
    <row r="1" spans="1:10" x14ac:dyDescent="0.2">
      <c r="A1" s="27" t="s">
        <v>5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41.25" x14ac:dyDescent="0.2">
      <c r="A2" s="8" t="s">
        <v>26</v>
      </c>
      <c r="B2" s="2" t="s">
        <v>2</v>
      </c>
      <c r="C2" s="2" t="s">
        <v>6</v>
      </c>
      <c r="D2" s="2" t="s">
        <v>15</v>
      </c>
      <c r="E2" s="2" t="s">
        <v>27</v>
      </c>
      <c r="F2" s="4" t="s">
        <v>8</v>
      </c>
      <c r="G2" s="4" t="s">
        <v>10</v>
      </c>
      <c r="H2" s="4" t="s">
        <v>12</v>
      </c>
      <c r="I2" s="4" t="s">
        <v>11</v>
      </c>
      <c r="J2" s="1" t="s">
        <v>13</v>
      </c>
    </row>
    <row r="3" spans="1:10" ht="27.75" x14ac:dyDescent="0.2">
      <c r="A3" s="6">
        <f>Bitácora!A5</f>
        <v>45992</v>
      </c>
      <c r="B3" s="3" t="str">
        <f>Bitácora!B5</f>
        <v>liliam-Lidia</v>
      </c>
      <c r="C3" s="3" t="str">
        <f>Bitácora!Q5</f>
        <v>PFMP03200</v>
      </c>
      <c r="D3" s="3">
        <f>Bitácora!C5</f>
        <v>10</v>
      </c>
      <c r="E3" s="3" t="str">
        <f>Bitácora!F5</f>
        <v>Ficus Lyriata 1 plantas de 50 cm</v>
      </c>
      <c r="F3" s="3" t="str">
        <f>Bitácora!G5</f>
        <v>MP#3 dec</v>
      </c>
      <c r="G3" s="3" t="str">
        <f>Bitácora!H5</f>
        <v>Vivero 60%</v>
      </c>
      <c r="H3" s="3">
        <f>Bitácora!I5</f>
        <v>11300</v>
      </c>
      <c r="I3" s="3" t="str">
        <f>Bitácora!J5</f>
        <v>4 horas</v>
      </c>
      <c r="J3" s="3">
        <f>Bitácora!R5</f>
        <v>0</v>
      </c>
    </row>
    <row r="4" spans="1:10" ht="27.75" x14ac:dyDescent="0.2">
      <c r="A4" s="6">
        <f>Bitácora!A6</f>
        <v>45992</v>
      </c>
      <c r="B4" s="3" t="str">
        <f>Bitácora!B6</f>
        <v>Liliam-Lidia</v>
      </c>
      <c r="C4" s="3" t="str">
        <f>Bitácora!Q6</f>
        <v>PAMP40017</v>
      </c>
      <c r="D4" s="3">
        <f>Bitácora!C6</f>
        <v>15</v>
      </c>
      <c r="E4" s="3" t="str">
        <f>Bitácora!F6</f>
        <v>Aralia fabia 7 plantas de 70 cm</v>
      </c>
      <c r="F4" s="3" t="str">
        <f>Bitácora!G6</f>
        <v>Mp#4 dec</v>
      </c>
      <c r="G4" s="3" t="str">
        <f>Bitácora!H6</f>
        <v>Vivero 60%</v>
      </c>
      <c r="H4" s="3">
        <f>Bitácora!I6</f>
        <v>15600</v>
      </c>
      <c r="I4" s="3" t="str">
        <f>Bitácora!J6</f>
        <v>4 horas</v>
      </c>
      <c r="J4" s="3">
        <f>Bitácora!R6</f>
        <v>0</v>
      </c>
    </row>
    <row r="5" spans="1:10" ht="27.75" x14ac:dyDescent="0.2">
      <c r="A5" s="6">
        <f>Bitácora!A7</f>
        <v>45992</v>
      </c>
      <c r="B5" s="3" t="str">
        <f>Bitácora!B7</f>
        <v>Julio-Alberto</v>
      </c>
      <c r="C5" s="3" t="str">
        <f>Bitácora!Q7</f>
        <v>PGBP04001</v>
      </c>
      <c r="D5" s="3">
        <f>Bitácora!C7</f>
        <v>500</v>
      </c>
      <c r="E5" s="3" t="str">
        <f>Bitácora!F7</f>
        <v>Gardenias 1 plantas de 10 pulgadas</v>
      </c>
      <c r="F5" s="3" t="str">
        <f>Bitácora!G7</f>
        <v>bolsa 9*12</v>
      </c>
      <c r="G5" s="3" t="str">
        <f>Bitácora!H7</f>
        <v>Vivero 60%</v>
      </c>
      <c r="H5" s="3">
        <f>Bitácora!I7</f>
        <v>6246</v>
      </c>
      <c r="I5" s="3" t="str">
        <f>Bitácora!J7</f>
        <v>16 horas</v>
      </c>
      <c r="J5" s="3">
        <f>Bitácora!R7</f>
        <v>0</v>
      </c>
    </row>
    <row r="6" spans="1:10" ht="27.75" x14ac:dyDescent="0.2">
      <c r="A6" s="6">
        <f>Bitácora!A8</f>
        <v>45994</v>
      </c>
      <c r="B6" s="3" t="str">
        <f>Bitácora!B8</f>
        <v>Liliam-Lidia-Alberto</v>
      </c>
      <c r="C6" s="3" t="str">
        <f>Bitácora!Q8</f>
        <v>PQCA01001</v>
      </c>
      <c r="D6" s="3">
        <f>Bitácora!C8</f>
        <v>20</v>
      </c>
      <c r="E6" s="3" t="str">
        <f>Bitácora!F8</f>
        <v>Queso suizo 5 plantas de 6 pulgadas</v>
      </c>
      <c r="F6" s="3" t="str">
        <f>Bitácora!G8</f>
        <v>PC#1</v>
      </c>
      <c r="G6" s="3" t="str">
        <f>Bitácora!H8</f>
        <v>Vivero 60%</v>
      </c>
      <c r="H6" s="3">
        <f>Bitácora!I8</f>
        <v>6000</v>
      </c>
      <c r="I6" s="3" t="str">
        <f>Bitácora!J8</f>
        <v>4 horas</v>
      </c>
      <c r="J6" s="3">
        <f>Bitácora!R8</f>
        <v>0</v>
      </c>
    </row>
    <row r="7" spans="1:10" ht="27.75" x14ac:dyDescent="0.2">
      <c r="A7" s="6">
        <f>Bitácora!A9</f>
        <v>45994</v>
      </c>
      <c r="B7" s="3" t="str">
        <f>Bitácora!B9</f>
        <v>Liliam-Lidia-Alberto</v>
      </c>
      <c r="C7" s="3" t="str">
        <f>Bitácora!Q9</f>
        <v>PAMP03017</v>
      </c>
      <c r="D7" s="3">
        <f>Bitácora!C9</f>
        <v>15</v>
      </c>
      <c r="E7" s="3" t="str">
        <f>Bitácora!F9</f>
        <v>Aralia fabia 5 plantas de 70 cm</v>
      </c>
      <c r="F7" s="3" t="str">
        <f>Bitácora!G9</f>
        <v>MP#3 dec</v>
      </c>
      <c r="G7" s="3" t="str">
        <f>Bitácora!H9</f>
        <v>Vivero 60%</v>
      </c>
      <c r="H7" s="3">
        <f>Bitácora!I9</f>
        <v>11300</v>
      </c>
      <c r="I7" s="3" t="str">
        <f>Bitácora!J9</f>
        <v>8 horas</v>
      </c>
      <c r="J7" s="3">
        <f>Bitácora!R9</f>
        <v>0</v>
      </c>
    </row>
    <row r="8" spans="1:10" ht="27.75" x14ac:dyDescent="0.2">
      <c r="A8" s="6">
        <f>Bitácora!A10</f>
        <v>45994</v>
      </c>
      <c r="B8" s="3" t="str">
        <f>Bitácora!B10</f>
        <v>Liliam-Lidia-Alberto</v>
      </c>
      <c r="C8" s="3" t="str">
        <f>Bitácora!Q10</f>
        <v>PAMP40017</v>
      </c>
      <c r="D8" s="3">
        <f>Bitácora!C10</f>
        <v>30</v>
      </c>
      <c r="E8" s="3" t="str">
        <f>Bitácora!F10</f>
        <v>Aralia fabia 7 plantas de 70 cm</v>
      </c>
      <c r="F8" s="3" t="str">
        <f>Bitácora!G10</f>
        <v>MP#4 dec</v>
      </c>
      <c r="G8" s="3" t="str">
        <f>Bitácora!H10</f>
        <v>Vivero 60%</v>
      </c>
      <c r="H8" s="3">
        <f>Bitácora!I10</f>
        <v>15600</v>
      </c>
      <c r="I8" s="3" t="str">
        <f>Bitácora!J10</f>
        <v>8 horas</v>
      </c>
      <c r="J8" s="3">
        <f>Bitácora!R10</f>
        <v>0</v>
      </c>
    </row>
    <row r="9" spans="1:10" hidden="1" x14ac:dyDescent="0.2">
      <c r="A9" s="6">
        <f>Bitácora!A11</f>
        <v>45995</v>
      </c>
      <c r="B9" s="3" t="str">
        <f>Bitácora!B11</f>
        <v>Liliam-Lidia</v>
      </c>
      <c r="C9" s="3" t="str">
        <f>Bitácora!Q11</f>
        <v>PPBP07006</v>
      </c>
      <c r="D9" s="3">
        <f>Bitácora!C11</f>
        <v>31</v>
      </c>
      <c r="E9" s="3">
        <f>Bitácora!F11</f>
        <v>0</v>
      </c>
      <c r="F9" s="3">
        <f>Bitácora!G11</f>
        <v>0</v>
      </c>
      <c r="G9" s="3">
        <f>Bitácora!H11</f>
        <v>0</v>
      </c>
      <c r="H9" s="3">
        <f>Bitácora!I11</f>
        <v>0</v>
      </c>
      <c r="I9" s="3">
        <f>Bitácora!J11</f>
        <v>0</v>
      </c>
      <c r="J9" s="3">
        <f>Bitácora!R11</f>
        <v>0</v>
      </c>
    </row>
    <row r="10" spans="1:10" hidden="1" x14ac:dyDescent="0.2">
      <c r="A10" s="6">
        <f>Bitácora!A12</f>
        <v>45995</v>
      </c>
      <c r="B10" s="3" t="str">
        <f>Bitácora!B12</f>
        <v>Liliam-Lidia</v>
      </c>
      <c r="C10" s="3" t="str">
        <f>Bitácora!Q12</f>
        <v>PAMP04128</v>
      </c>
      <c r="D10" s="3">
        <f>Bitácora!C12</f>
        <v>1</v>
      </c>
      <c r="E10" s="3">
        <f>Bitácora!F12</f>
        <v>0</v>
      </c>
      <c r="F10" s="3">
        <f>Bitácora!G12</f>
        <v>0</v>
      </c>
      <c r="G10" s="3">
        <f>Bitácora!H12</f>
        <v>0</v>
      </c>
      <c r="H10" s="3">
        <f>Bitácora!I12</f>
        <v>0</v>
      </c>
      <c r="I10" s="3">
        <f>Bitácora!J12</f>
        <v>0</v>
      </c>
      <c r="J10" s="3">
        <f>Bitácora!R12</f>
        <v>0</v>
      </c>
    </row>
    <row r="11" spans="1:10" hidden="1" x14ac:dyDescent="0.2">
      <c r="A11" s="6">
        <f>Bitácora!A13</f>
        <v>45995</v>
      </c>
      <c r="B11" s="3" t="str">
        <f>Bitácora!B13</f>
        <v>Fermin-Julio</v>
      </c>
      <c r="C11" s="3" t="str">
        <f>Bitácora!Q13</f>
        <v>PCMP06040</v>
      </c>
      <c r="D11" s="3">
        <f>Bitácora!C13</f>
        <v>1</v>
      </c>
      <c r="E11" s="3">
        <f>Bitácora!F13</f>
        <v>0</v>
      </c>
      <c r="F11" s="3">
        <f>Bitácora!G13</f>
        <v>0</v>
      </c>
      <c r="G11" s="3">
        <f>Bitácora!H13</f>
        <v>0</v>
      </c>
      <c r="H11" s="3">
        <f>Bitácora!I13</f>
        <v>0</v>
      </c>
      <c r="I11" s="3">
        <f>Bitácora!J13</f>
        <v>0</v>
      </c>
      <c r="J11" s="3">
        <f>Bitácora!R13</f>
        <v>6000274</v>
      </c>
    </row>
    <row r="12" spans="1:10" hidden="1" x14ac:dyDescent="0.2">
      <c r="A12" s="6">
        <f>Bitácora!A14</f>
        <v>45995</v>
      </c>
      <c r="B12" s="3" t="str">
        <f>Bitácora!B14</f>
        <v>Fermin-Julio</v>
      </c>
      <c r="C12" s="3" t="str">
        <f>Bitácora!Q14</f>
        <v>PSMP05013</v>
      </c>
      <c r="D12" s="3">
        <f>Bitácora!C14</f>
        <v>7</v>
      </c>
      <c r="E12" s="3">
        <f>Bitácora!F14</f>
        <v>0</v>
      </c>
      <c r="F12" s="3">
        <f>Bitácora!G14</f>
        <v>0</v>
      </c>
      <c r="G12" s="3">
        <f>Bitácora!H14</f>
        <v>0</v>
      </c>
      <c r="H12" s="3">
        <f>Bitácora!I14</f>
        <v>0</v>
      </c>
      <c r="I12" s="3">
        <f>Bitácora!J14</f>
        <v>0</v>
      </c>
      <c r="J12" s="3">
        <f>Bitácora!R14</f>
        <v>6000274</v>
      </c>
    </row>
    <row r="13" spans="1:10" hidden="1" x14ac:dyDescent="0.2">
      <c r="A13" s="6">
        <f>Bitácora!A15</f>
        <v>45995</v>
      </c>
      <c r="B13" s="3" t="str">
        <f>Bitácora!B15</f>
        <v>Fermin-Julio</v>
      </c>
      <c r="C13" s="3" t="str">
        <f>Bitácora!Q15</f>
        <v>PFMP03120</v>
      </c>
      <c r="D13" s="3">
        <f>Bitácora!C15</f>
        <v>1</v>
      </c>
      <c r="E13" s="3">
        <f>Bitácora!F15</f>
        <v>0</v>
      </c>
      <c r="F13" s="3">
        <f>Bitácora!G15</f>
        <v>0</v>
      </c>
      <c r="G13" s="3">
        <f>Bitácora!H15</f>
        <v>0</v>
      </c>
      <c r="H13" s="3">
        <f>Bitácora!I15</f>
        <v>0</v>
      </c>
      <c r="I13" s="3">
        <f>Bitácora!J15</f>
        <v>0</v>
      </c>
      <c r="J13" s="3">
        <f>Bitácora!R15</f>
        <v>6000274</v>
      </c>
    </row>
    <row r="14" spans="1:10" hidden="1" x14ac:dyDescent="0.2">
      <c r="A14" s="6">
        <f>Bitácora!A16</f>
        <v>45995</v>
      </c>
      <c r="B14" s="3" t="str">
        <f>Bitácora!B16</f>
        <v>Fermin-Julio</v>
      </c>
      <c r="C14" s="3" t="str">
        <f>Bitácora!Q16</f>
        <v>PCBP04038</v>
      </c>
      <c r="D14" s="3">
        <f>Bitácora!C16</f>
        <v>10</v>
      </c>
      <c r="E14" s="3">
        <f>Bitácora!F16</f>
        <v>0</v>
      </c>
      <c r="F14" s="3">
        <f>Bitácora!G16</f>
        <v>0</v>
      </c>
      <c r="G14" s="3">
        <f>Bitácora!H16</f>
        <v>0</v>
      </c>
      <c r="H14" s="3">
        <f>Bitácora!I16</f>
        <v>0</v>
      </c>
      <c r="I14" s="3">
        <f>Bitácora!J16</f>
        <v>0</v>
      </c>
      <c r="J14" s="3">
        <f>Bitácora!R16</f>
        <v>6000274</v>
      </c>
    </row>
    <row r="15" spans="1:10" hidden="1" x14ac:dyDescent="0.2">
      <c r="A15" s="6">
        <f>Bitácora!A17</f>
        <v>45995</v>
      </c>
      <c r="B15" s="3" t="str">
        <f>Bitácora!B17</f>
        <v>Fermin-Julio</v>
      </c>
      <c r="C15" s="3" t="str">
        <f>Bitácora!Q17</f>
        <v>PPMP04017</v>
      </c>
      <c r="D15" s="3">
        <f>Bitácora!C17</f>
        <v>1</v>
      </c>
      <c r="E15" s="3">
        <f>Bitácora!F17</f>
        <v>0</v>
      </c>
      <c r="F15" s="3">
        <f>Bitácora!G17</f>
        <v>0</v>
      </c>
      <c r="G15" s="3">
        <f>Bitácora!H17</f>
        <v>0</v>
      </c>
      <c r="H15" s="3">
        <f>Bitácora!I17</f>
        <v>0</v>
      </c>
      <c r="I15" s="3">
        <f>Bitácora!J17</f>
        <v>0</v>
      </c>
      <c r="J15" s="3">
        <f>Bitácora!R17</f>
        <v>6000274</v>
      </c>
    </row>
    <row r="16" spans="1:10" hidden="1" x14ac:dyDescent="0.2">
      <c r="A16" s="6">
        <f>Bitácora!A18</f>
        <v>45995</v>
      </c>
      <c r="B16" s="3" t="str">
        <f>Bitácora!B18</f>
        <v>Fermin-Julio</v>
      </c>
      <c r="C16" s="3" t="str">
        <f>Bitácora!Q18</f>
        <v>PPCA01037</v>
      </c>
      <c r="D16" s="3">
        <f>Bitácora!C18</f>
        <v>1</v>
      </c>
      <c r="E16" s="3">
        <f>Bitácora!F18</f>
        <v>0</v>
      </c>
      <c r="F16" s="3">
        <f>Bitácora!G18</f>
        <v>0</v>
      </c>
      <c r="G16" s="3">
        <f>Bitácora!H18</f>
        <v>0</v>
      </c>
      <c r="H16" s="3">
        <f>Bitácora!I18</f>
        <v>0</v>
      </c>
      <c r="I16" s="3">
        <f>Bitácora!J18</f>
        <v>0</v>
      </c>
      <c r="J16" s="3">
        <f>Bitácora!R18</f>
        <v>6000274</v>
      </c>
    </row>
    <row r="17" spans="1:10" hidden="1" x14ac:dyDescent="0.2">
      <c r="A17" s="6">
        <f>Bitácora!A19</f>
        <v>45995</v>
      </c>
      <c r="B17" s="3" t="str">
        <f>Bitácora!B19</f>
        <v>Fermin-Julio</v>
      </c>
      <c r="C17" s="3" t="str">
        <f>Bitácora!Q19</f>
        <v>PCMP05035</v>
      </c>
      <c r="D17" s="3">
        <f>Bitácora!C19</f>
        <v>10</v>
      </c>
      <c r="E17" s="3">
        <f>Bitácora!F19</f>
        <v>0</v>
      </c>
      <c r="F17" s="3">
        <f>Bitácora!G19</f>
        <v>0</v>
      </c>
      <c r="G17" s="3">
        <f>Bitácora!H19</f>
        <v>0</v>
      </c>
      <c r="H17" s="3">
        <f>Bitácora!I19</f>
        <v>0</v>
      </c>
      <c r="I17" s="3">
        <f>Bitácora!J19</f>
        <v>0</v>
      </c>
      <c r="J17" s="3">
        <f>Bitácora!R19</f>
        <v>6000274</v>
      </c>
    </row>
    <row r="18" spans="1:10" hidden="1" x14ac:dyDescent="0.2">
      <c r="A18" s="6">
        <f>Bitácora!A20</f>
        <v>45995</v>
      </c>
      <c r="B18" s="3" t="str">
        <f>Bitácora!B20</f>
        <v>Fermin-Julio</v>
      </c>
      <c r="C18" s="3" t="str">
        <f>Bitácora!Q20</f>
        <v>PCBP04035</v>
      </c>
      <c r="D18" s="3">
        <f>Bitácora!C20</f>
        <v>13</v>
      </c>
      <c r="E18" s="3">
        <f>Bitácora!F20</f>
        <v>0</v>
      </c>
      <c r="F18" s="3">
        <f>Bitácora!G20</f>
        <v>0</v>
      </c>
      <c r="G18" s="3">
        <f>Bitácora!H20</f>
        <v>0</v>
      </c>
      <c r="H18" s="3">
        <f>Bitácora!I20</f>
        <v>0</v>
      </c>
      <c r="I18" s="3">
        <f>Bitácora!J20</f>
        <v>0</v>
      </c>
      <c r="J18" s="3">
        <f>Bitácora!R20</f>
        <v>6000274</v>
      </c>
    </row>
    <row r="19" spans="1:10" hidden="1" x14ac:dyDescent="0.2">
      <c r="A19" s="6">
        <f>Bitácora!A21</f>
        <v>45995</v>
      </c>
      <c r="B19" s="3" t="str">
        <f>Bitácora!B21</f>
        <v>Fermin-Julio</v>
      </c>
      <c r="C19" s="3" t="str">
        <f>Bitácora!Q21</f>
        <v>PDMP04103</v>
      </c>
      <c r="D19" s="3">
        <f>Bitácora!C21</f>
        <v>3</v>
      </c>
      <c r="E19" s="3">
        <f>Bitácora!F21</f>
        <v>0</v>
      </c>
      <c r="F19" s="3">
        <f>Bitácora!G21</f>
        <v>0</v>
      </c>
      <c r="G19" s="3">
        <f>Bitácora!H21</f>
        <v>0</v>
      </c>
      <c r="H19" s="3">
        <f>Bitácora!I21</f>
        <v>0</v>
      </c>
      <c r="I19" s="3">
        <f>Bitácora!J21</f>
        <v>0</v>
      </c>
      <c r="J19" s="3">
        <f>Bitácora!R21</f>
        <v>6000274</v>
      </c>
    </row>
    <row r="20" spans="1:10" hidden="1" x14ac:dyDescent="0.2">
      <c r="A20" s="6">
        <f>Bitácora!A22</f>
        <v>45995</v>
      </c>
      <c r="B20" s="3" t="str">
        <f>Bitácora!B22</f>
        <v>Fermin-Julio</v>
      </c>
      <c r="C20" s="3" t="str">
        <f>Bitácora!Q22</f>
        <v>PDMP04002</v>
      </c>
      <c r="D20" s="3">
        <f>Bitácora!C22</f>
        <v>1</v>
      </c>
      <c r="E20" s="3">
        <f>Bitácora!F22</f>
        <v>0</v>
      </c>
      <c r="F20" s="3">
        <f>Bitácora!G22</f>
        <v>0</v>
      </c>
      <c r="G20" s="3">
        <f>Bitácora!H22</f>
        <v>0</v>
      </c>
      <c r="H20" s="3">
        <f>Bitácora!I22</f>
        <v>0</v>
      </c>
      <c r="I20" s="3">
        <f>Bitácora!J22</f>
        <v>0</v>
      </c>
      <c r="J20" s="3">
        <f>Bitácora!R22</f>
        <v>6000274</v>
      </c>
    </row>
    <row r="21" spans="1:10" hidden="1" x14ac:dyDescent="0.2">
      <c r="A21" s="6">
        <f>Bitácora!A23</f>
        <v>45995</v>
      </c>
      <c r="B21" s="3" t="str">
        <f>Bitácora!B23</f>
        <v>Fermin-Julio</v>
      </c>
      <c r="C21" s="3" t="str">
        <f>Bitácora!Q23</f>
        <v>PPCA01039</v>
      </c>
      <c r="D21" s="3">
        <f>Bitácora!C23</f>
        <v>1</v>
      </c>
      <c r="E21" s="3">
        <f>Bitácora!F23</f>
        <v>0</v>
      </c>
      <c r="F21" s="3">
        <f>Bitácora!G23</f>
        <v>0</v>
      </c>
      <c r="G21" s="3">
        <f>Bitácora!H23</f>
        <v>0</v>
      </c>
      <c r="H21" s="3">
        <f>Bitácora!I23</f>
        <v>0</v>
      </c>
      <c r="I21" s="3">
        <f>Bitácora!J23</f>
        <v>0</v>
      </c>
      <c r="J21" s="3">
        <f>Bitácora!R23</f>
        <v>6000274</v>
      </c>
    </row>
    <row r="22" spans="1:10" hidden="1" x14ac:dyDescent="0.2">
      <c r="A22" s="6">
        <f>Bitácora!A24</f>
        <v>45995</v>
      </c>
      <c r="B22" s="3" t="str">
        <f>Bitácora!B24</f>
        <v>Fermin-Julio</v>
      </c>
      <c r="C22" s="3" t="str">
        <f>Bitácora!Q24</f>
        <v>PAMP06017</v>
      </c>
      <c r="D22" s="3">
        <f>Bitácora!C24</f>
        <v>1</v>
      </c>
      <c r="E22" s="3">
        <f>Bitácora!F24</f>
        <v>0</v>
      </c>
      <c r="F22" s="3">
        <f>Bitácora!G24</f>
        <v>0</v>
      </c>
      <c r="G22" s="3">
        <f>Bitácora!H24</f>
        <v>0</v>
      </c>
      <c r="H22" s="3">
        <f>Bitácora!I24</f>
        <v>0</v>
      </c>
      <c r="I22" s="3">
        <f>Bitácora!J24</f>
        <v>0</v>
      </c>
      <c r="J22" s="3">
        <f>Bitácora!R24</f>
        <v>6000274</v>
      </c>
    </row>
    <row r="23" spans="1:10" hidden="1" x14ac:dyDescent="0.2">
      <c r="A23" s="6">
        <f>Bitácora!A25</f>
        <v>45995</v>
      </c>
      <c r="B23" s="3" t="str">
        <f>Bitácora!B25</f>
        <v>Fermin-Julio</v>
      </c>
      <c r="C23" s="3" t="str">
        <f>Bitácora!Q25</f>
        <v>PAMP04021</v>
      </c>
      <c r="D23" s="3">
        <f>Bitácora!C25</f>
        <v>18</v>
      </c>
      <c r="E23" s="3">
        <f>Bitácora!F25</f>
        <v>0</v>
      </c>
      <c r="F23" s="3">
        <f>Bitácora!G25</f>
        <v>0</v>
      </c>
      <c r="G23" s="3">
        <f>Bitácora!H25</f>
        <v>0</v>
      </c>
      <c r="H23" s="3">
        <f>Bitácora!I25</f>
        <v>0</v>
      </c>
      <c r="I23" s="3">
        <f>Bitácora!J25</f>
        <v>0</v>
      </c>
      <c r="J23" s="3">
        <f>Bitácora!R25</f>
        <v>6000274</v>
      </c>
    </row>
    <row r="24" spans="1:10" hidden="1" x14ac:dyDescent="0.2">
      <c r="A24" s="6">
        <f>Bitácora!A26</f>
        <v>45995</v>
      </c>
      <c r="B24" s="3" t="str">
        <f>Bitácora!B26</f>
        <v>liliam-Lidia</v>
      </c>
      <c r="C24" s="3" t="str">
        <f>Bitácora!Q26</f>
        <v>PDMP04103</v>
      </c>
      <c r="D24" s="3">
        <f>Bitácora!C26</f>
        <v>9</v>
      </c>
      <c r="E24" s="3">
        <f>Bitácora!F26</f>
        <v>0</v>
      </c>
      <c r="F24" s="3">
        <f>Bitácora!G26</f>
        <v>0</v>
      </c>
      <c r="G24" s="3">
        <f>Bitácora!H26</f>
        <v>0</v>
      </c>
      <c r="H24" s="3">
        <f>Bitácora!I26</f>
        <v>0</v>
      </c>
      <c r="I24" s="3">
        <f>Bitácora!J26</f>
        <v>0</v>
      </c>
      <c r="J24" s="3">
        <f>Bitácora!R26</f>
        <v>0</v>
      </c>
    </row>
    <row r="25" spans="1:10" hidden="1" x14ac:dyDescent="0.2">
      <c r="A25" s="6">
        <f>Bitácora!A27</f>
        <v>45995</v>
      </c>
      <c r="B25" s="3" t="str">
        <f>Bitácora!B27</f>
        <v>liliam-Lidia</v>
      </c>
      <c r="C25" s="3" t="str">
        <f>Bitácora!Q27</f>
        <v>PPMP04017</v>
      </c>
      <c r="D25" s="3">
        <f>Bitácora!C27</f>
        <v>57</v>
      </c>
      <c r="E25" s="3">
        <f>Bitácora!F27</f>
        <v>0</v>
      </c>
      <c r="F25" s="3">
        <f>Bitácora!G27</f>
        <v>0</v>
      </c>
      <c r="G25" s="3">
        <f>Bitácora!H27</f>
        <v>0</v>
      </c>
      <c r="H25" s="3">
        <f>Bitácora!I27</f>
        <v>0</v>
      </c>
      <c r="I25" s="3">
        <f>Bitácora!J27</f>
        <v>0</v>
      </c>
      <c r="J25" s="3">
        <f>Bitácora!R27</f>
        <v>0</v>
      </c>
    </row>
    <row r="26" spans="1:10" hidden="1" x14ac:dyDescent="0.2">
      <c r="A26" s="6">
        <f>Bitácora!A28</f>
        <v>45995</v>
      </c>
      <c r="B26" s="3" t="str">
        <f>Bitácora!B28</f>
        <v>liliam-Lidia</v>
      </c>
      <c r="C26" s="3" t="str">
        <f>Bitácora!Q28</f>
        <v>PJMP04006</v>
      </c>
      <c r="D26" s="3">
        <f>Bitácora!C28</f>
        <v>13</v>
      </c>
      <c r="E26" s="3">
        <f>Bitácora!F28</f>
        <v>0</v>
      </c>
      <c r="F26" s="3">
        <f>Bitácora!G28</f>
        <v>0</v>
      </c>
      <c r="G26" s="3">
        <f>Bitácora!H28</f>
        <v>0</v>
      </c>
      <c r="H26" s="3">
        <f>Bitácora!I28</f>
        <v>0</v>
      </c>
      <c r="I26" s="3">
        <f>Bitácora!J28</f>
        <v>0</v>
      </c>
      <c r="J26" s="3">
        <f>Bitácora!R28</f>
        <v>0</v>
      </c>
    </row>
    <row r="27" spans="1:10" hidden="1" x14ac:dyDescent="0.2">
      <c r="A27" s="6">
        <f>Bitácora!A29</f>
        <v>45995</v>
      </c>
      <c r="B27" s="3" t="str">
        <f>Bitácora!B29</f>
        <v>liliam-Lidia</v>
      </c>
      <c r="C27" s="3" t="str">
        <f>Bitácora!Q29</f>
        <v>PCMP05035</v>
      </c>
      <c r="D27" s="3">
        <f>Bitácora!C29</f>
        <v>9</v>
      </c>
      <c r="E27" s="3">
        <f>Bitácora!F29</f>
        <v>0</v>
      </c>
      <c r="F27" s="3">
        <f>Bitácora!G29</f>
        <v>0</v>
      </c>
      <c r="G27" s="3">
        <f>Bitácora!H29</f>
        <v>0</v>
      </c>
      <c r="H27" s="3">
        <f>Bitácora!I29</f>
        <v>0</v>
      </c>
      <c r="I27" s="3">
        <f>Bitácora!J29</f>
        <v>0</v>
      </c>
      <c r="J27" s="3">
        <f>Bitácora!R29</f>
        <v>0</v>
      </c>
    </row>
    <row r="28" spans="1:10" hidden="1" x14ac:dyDescent="0.2">
      <c r="A28" s="6">
        <f>Bitácora!A30</f>
        <v>45995</v>
      </c>
      <c r="B28" s="3" t="str">
        <f>Bitácora!B30</f>
        <v>liliam-Lidia</v>
      </c>
      <c r="C28" s="3" t="str">
        <f>Bitácora!Q30</f>
        <v>PCMP05036</v>
      </c>
      <c r="D28" s="3">
        <f>Bitácora!C30</f>
        <v>15</v>
      </c>
      <c r="E28" s="3">
        <f>Bitácora!F30</f>
        <v>0</v>
      </c>
      <c r="F28" s="3">
        <f>Bitácora!G30</f>
        <v>0</v>
      </c>
      <c r="G28" s="3">
        <f>Bitácora!H30</f>
        <v>0</v>
      </c>
      <c r="H28" s="3">
        <f>Bitácora!I30</f>
        <v>0</v>
      </c>
      <c r="I28" s="3">
        <f>Bitácora!J30</f>
        <v>0</v>
      </c>
      <c r="J28" s="3">
        <f>Bitácora!R30</f>
        <v>0</v>
      </c>
    </row>
    <row r="29" spans="1:10" hidden="1" x14ac:dyDescent="0.2">
      <c r="A29" s="6">
        <f>Bitácora!A31</f>
        <v>45995</v>
      </c>
      <c r="B29" s="3" t="str">
        <f>Bitácora!B31</f>
        <v>liliam-Lidia</v>
      </c>
      <c r="C29" s="3" t="str">
        <f>Bitácora!Q31</f>
        <v>PCMP05039</v>
      </c>
      <c r="D29" s="3">
        <f>Bitácora!C31</f>
        <v>38</v>
      </c>
      <c r="E29" s="3">
        <f>Bitácora!F31</f>
        <v>0</v>
      </c>
      <c r="F29" s="3">
        <f>Bitácora!G31</f>
        <v>0</v>
      </c>
      <c r="G29" s="3">
        <f>Bitácora!H31</f>
        <v>0</v>
      </c>
      <c r="H29" s="3">
        <f>Bitácora!I31</f>
        <v>0</v>
      </c>
      <c r="I29" s="3">
        <f>Bitácora!J31</f>
        <v>0</v>
      </c>
      <c r="J29" s="3">
        <f>Bitácora!R31</f>
        <v>0</v>
      </c>
    </row>
    <row r="30" spans="1:10" hidden="1" x14ac:dyDescent="0.2">
      <c r="A30" s="6">
        <f>Bitácora!A32</f>
        <v>45995</v>
      </c>
      <c r="B30" s="3" t="str">
        <f>Bitácora!B32</f>
        <v>liliam-Lidia</v>
      </c>
      <c r="C30" s="3" t="str">
        <f>Bitácora!Q32</f>
        <v>PCMP05040</v>
      </c>
      <c r="D30" s="3">
        <f>Bitácora!C32</f>
        <v>18</v>
      </c>
      <c r="E30" s="3">
        <f>Bitácora!F32</f>
        <v>0</v>
      </c>
      <c r="F30" s="3">
        <f>Bitácora!G32</f>
        <v>0</v>
      </c>
      <c r="G30" s="3">
        <f>Bitácora!H32</f>
        <v>0</v>
      </c>
      <c r="H30" s="3">
        <f>Bitácora!I32</f>
        <v>0</v>
      </c>
      <c r="I30" s="3">
        <f>Bitácora!J32</f>
        <v>0</v>
      </c>
      <c r="J30" s="3">
        <f>Bitácora!R32</f>
        <v>0</v>
      </c>
    </row>
    <row r="31" spans="1:10" hidden="1" x14ac:dyDescent="0.2">
      <c r="A31" s="6">
        <f>Bitácora!A33</f>
        <v>45995</v>
      </c>
      <c r="B31" s="3" t="str">
        <f>Bitácora!B33</f>
        <v>liliam-Lidia</v>
      </c>
      <c r="C31" s="3" t="str">
        <f>Bitácora!Q33</f>
        <v>PDMP04103</v>
      </c>
      <c r="D31" s="3">
        <f>Bitácora!C33</f>
        <v>10</v>
      </c>
      <c r="E31" s="3">
        <f>Bitácora!F33</f>
        <v>0</v>
      </c>
      <c r="F31" s="3">
        <f>Bitácora!G33</f>
        <v>0</v>
      </c>
      <c r="G31" s="3">
        <f>Bitácora!H33</f>
        <v>0</v>
      </c>
      <c r="H31" s="3">
        <f>Bitácora!I33</f>
        <v>0</v>
      </c>
      <c r="I31" s="3">
        <f>Bitácora!J33</f>
        <v>0</v>
      </c>
      <c r="J31" s="3">
        <f>Bitácora!R33</f>
        <v>0</v>
      </c>
    </row>
    <row r="32" spans="1:10" hidden="1" x14ac:dyDescent="0.2">
      <c r="A32" s="6">
        <f>Bitácora!A34</f>
        <v>45995</v>
      </c>
      <c r="B32" s="3" t="str">
        <f>Bitácora!B34</f>
        <v>liliam-Lidia</v>
      </c>
      <c r="C32" s="3" t="str">
        <f>Bitácora!Q34</f>
        <v>PAMP11038</v>
      </c>
      <c r="D32" s="3">
        <f>Bitácora!C34</f>
        <v>11</v>
      </c>
      <c r="E32" s="3">
        <f>Bitácora!F34</f>
        <v>0</v>
      </c>
      <c r="F32" s="3">
        <f>Bitácora!G34</f>
        <v>0</v>
      </c>
      <c r="G32" s="3">
        <f>Bitácora!H34</f>
        <v>0</v>
      </c>
      <c r="H32" s="3">
        <f>Bitácora!I34</f>
        <v>0</v>
      </c>
      <c r="I32" s="3">
        <f>Bitácora!J34</f>
        <v>0</v>
      </c>
      <c r="J32" s="3">
        <f>Bitácora!R34</f>
        <v>0</v>
      </c>
    </row>
    <row r="33" spans="1:10" hidden="1" x14ac:dyDescent="0.2">
      <c r="A33" s="6">
        <f>Bitácora!A35</f>
        <v>45995</v>
      </c>
      <c r="B33" s="3" t="str">
        <f>Bitácora!B35</f>
        <v>liliam-Lidia</v>
      </c>
      <c r="C33" s="3" t="str">
        <f>Bitácora!Q35</f>
        <v>PSBP04003</v>
      </c>
      <c r="D33" s="3">
        <f>Bitácora!C35</f>
        <v>3</v>
      </c>
      <c r="E33" s="3">
        <f>Bitácora!F35</f>
        <v>0</v>
      </c>
      <c r="F33" s="3">
        <f>Bitácora!G35</f>
        <v>0</v>
      </c>
      <c r="G33" s="3">
        <f>Bitácora!H35</f>
        <v>0</v>
      </c>
      <c r="H33" s="3">
        <f>Bitácora!I35</f>
        <v>0</v>
      </c>
      <c r="I33" s="3">
        <f>Bitácora!J35</f>
        <v>0</v>
      </c>
      <c r="J33" s="3">
        <f>Bitácora!R35</f>
        <v>0</v>
      </c>
    </row>
    <row r="34" spans="1:10" hidden="1" x14ac:dyDescent="0.2">
      <c r="A34" s="6">
        <f>Bitácora!A36</f>
        <v>45995</v>
      </c>
      <c r="B34" s="3" t="str">
        <f>Bitácora!B36</f>
        <v>liliam-Lidia</v>
      </c>
      <c r="C34" s="3" t="str">
        <f>Bitácora!Q36</f>
        <v>PCBP04040</v>
      </c>
      <c r="D34" s="3">
        <f>Bitácora!C36</f>
        <v>30</v>
      </c>
      <c r="E34" s="3">
        <f>Bitácora!F36</f>
        <v>0</v>
      </c>
      <c r="F34" s="3">
        <f>Bitácora!G36</f>
        <v>0</v>
      </c>
      <c r="G34" s="3">
        <f>Bitácora!H36</f>
        <v>0</v>
      </c>
      <c r="H34" s="3">
        <f>Bitácora!I36</f>
        <v>0</v>
      </c>
      <c r="I34" s="3">
        <f>Bitácora!J36</f>
        <v>0</v>
      </c>
      <c r="J34" s="3">
        <f>Bitácora!R36</f>
        <v>0</v>
      </c>
    </row>
    <row r="35" spans="1:10" hidden="1" x14ac:dyDescent="0.2">
      <c r="A35" s="6">
        <f>Bitácora!A37</f>
        <v>45995</v>
      </c>
      <c r="B35" s="3" t="str">
        <f>Bitácora!B37</f>
        <v>liliam-Lidia</v>
      </c>
      <c r="C35" s="3" t="str">
        <f>Bitácora!Q37</f>
        <v>PCBP04037</v>
      </c>
      <c r="D35" s="3">
        <f>Bitácora!C37</f>
        <v>40</v>
      </c>
      <c r="E35" s="3">
        <f>Bitácora!F37</f>
        <v>0</v>
      </c>
      <c r="F35" s="3">
        <f>Bitácora!G37</f>
        <v>0</v>
      </c>
      <c r="G35" s="3">
        <f>Bitácora!H37</f>
        <v>0</v>
      </c>
      <c r="H35" s="3">
        <f>Bitácora!I37</f>
        <v>0</v>
      </c>
      <c r="I35" s="3">
        <f>Bitácora!J37</f>
        <v>0</v>
      </c>
      <c r="J35" s="3">
        <f>Bitácora!R37</f>
        <v>0</v>
      </c>
    </row>
    <row r="36" spans="1:10" hidden="1" x14ac:dyDescent="0.2">
      <c r="A36" s="6">
        <f>Bitácora!A38</f>
        <v>45995</v>
      </c>
      <c r="B36" s="3" t="str">
        <f>Bitácora!B38</f>
        <v>liliam-Lidia</v>
      </c>
      <c r="C36" s="3" t="str">
        <f>Bitácora!Q38</f>
        <v>PBMP04011</v>
      </c>
      <c r="D36" s="3">
        <f>Bitácora!C38</f>
        <v>114</v>
      </c>
      <c r="E36" s="3">
        <f>Bitácora!F38</f>
        <v>0</v>
      </c>
      <c r="F36" s="3">
        <f>Bitácora!G38</f>
        <v>0</v>
      </c>
      <c r="G36" s="3">
        <f>Bitácora!H38</f>
        <v>0</v>
      </c>
      <c r="H36" s="3">
        <f>Bitácora!I38</f>
        <v>0</v>
      </c>
      <c r="I36" s="3">
        <f>Bitácora!J38</f>
        <v>0</v>
      </c>
      <c r="J36" s="3">
        <f>Bitácora!R38</f>
        <v>0</v>
      </c>
    </row>
    <row r="37" spans="1:10" hidden="1" x14ac:dyDescent="0.2">
      <c r="A37" s="6">
        <f>Bitácora!A39</f>
        <v>45995</v>
      </c>
      <c r="B37" s="3" t="str">
        <f>Bitácora!B39</f>
        <v>liliam-Lidia</v>
      </c>
      <c r="C37" s="3" t="str">
        <f>Bitácora!Q39</f>
        <v>PABP04040</v>
      </c>
      <c r="D37" s="3">
        <f>Bitácora!C39</f>
        <v>18</v>
      </c>
      <c r="E37" s="3">
        <f>Bitácora!F39</f>
        <v>0</v>
      </c>
      <c r="F37" s="3">
        <f>Bitácora!G39</f>
        <v>0</v>
      </c>
      <c r="G37" s="3">
        <f>Bitácora!H39</f>
        <v>0</v>
      </c>
      <c r="H37" s="3">
        <f>Bitácora!I39</f>
        <v>0</v>
      </c>
      <c r="I37" s="3">
        <f>Bitácora!J39</f>
        <v>0</v>
      </c>
      <c r="J37" s="3">
        <f>Bitácora!R39</f>
        <v>0</v>
      </c>
    </row>
    <row r="38" spans="1:10" hidden="1" x14ac:dyDescent="0.2">
      <c r="A38" s="6">
        <f>Bitácora!A40</f>
        <v>45995</v>
      </c>
      <c r="B38" s="3" t="str">
        <f>Bitácora!B40</f>
        <v>liliam-Lidia</v>
      </c>
      <c r="C38" s="3" t="str">
        <f>Bitácora!Q40</f>
        <v>PCMP06065</v>
      </c>
      <c r="D38" s="3">
        <f>Bitácora!C40</f>
        <v>10</v>
      </c>
      <c r="E38" s="3">
        <f>Bitácora!F40</f>
        <v>0</v>
      </c>
      <c r="F38" s="3">
        <f>Bitácora!G40</f>
        <v>0</v>
      </c>
      <c r="G38" s="3">
        <f>Bitácora!H40</f>
        <v>0</v>
      </c>
      <c r="H38" s="3">
        <f>Bitácora!I40</f>
        <v>0</v>
      </c>
      <c r="I38" s="3">
        <f>Bitácora!J40</f>
        <v>0</v>
      </c>
      <c r="J38" s="3">
        <f>Bitácora!R40</f>
        <v>0</v>
      </c>
    </row>
    <row r="39" spans="1:10" hidden="1" x14ac:dyDescent="0.2">
      <c r="A39" s="6">
        <f>Bitácora!A41</f>
        <v>45995</v>
      </c>
      <c r="B39" s="3" t="str">
        <f>Bitácora!B41</f>
        <v>liliam-Lidia</v>
      </c>
      <c r="C39" s="3" t="str">
        <f>Bitácora!Q41</f>
        <v>PCBP07100</v>
      </c>
      <c r="D39" s="3">
        <f>Bitácora!C41</f>
        <v>25</v>
      </c>
      <c r="E39" s="3">
        <f>Bitácora!F41</f>
        <v>0</v>
      </c>
      <c r="F39" s="3">
        <f>Bitácora!G41</f>
        <v>0</v>
      </c>
      <c r="G39" s="3">
        <f>Bitácora!H41</f>
        <v>0</v>
      </c>
      <c r="H39" s="3">
        <f>Bitácora!I41</f>
        <v>0</v>
      </c>
      <c r="I39" s="3">
        <f>Bitácora!J41</f>
        <v>0</v>
      </c>
      <c r="J39" s="3">
        <f>Bitácora!R41</f>
        <v>0</v>
      </c>
    </row>
    <row r="40" spans="1:10" hidden="1" x14ac:dyDescent="0.2">
      <c r="A40" s="6">
        <f>Bitácora!A42</f>
        <v>46000</v>
      </c>
      <c r="B40" s="3">
        <f>Bitácora!B42</f>
        <v>0</v>
      </c>
      <c r="C40" s="3" t="str">
        <f>Bitácora!Q42</f>
        <v>PAMP03119</v>
      </c>
      <c r="D40" s="3">
        <f>Bitácora!C42</f>
        <v>20</v>
      </c>
      <c r="E40" s="3">
        <f>Bitácora!F42</f>
        <v>0</v>
      </c>
      <c r="F40" s="3">
        <f>Bitácora!G42</f>
        <v>0</v>
      </c>
      <c r="G40" s="3">
        <f>Bitácora!H42</f>
        <v>0</v>
      </c>
      <c r="H40" s="3">
        <f>Bitácora!I42</f>
        <v>0</v>
      </c>
      <c r="I40" s="3">
        <f>Bitácora!J42</f>
        <v>0</v>
      </c>
      <c r="J40" s="3">
        <f>Bitácora!R42</f>
        <v>0</v>
      </c>
    </row>
    <row r="41" spans="1:10" hidden="1" x14ac:dyDescent="0.2">
      <c r="A41" s="6">
        <f>Bitácora!A43</f>
        <v>46001</v>
      </c>
      <c r="B41" s="3" t="str">
        <f>Bitácora!B43</f>
        <v>Liliam-Idalia</v>
      </c>
      <c r="C41" s="3" t="str">
        <f>Bitácora!Q43</f>
        <v>PCBP04104</v>
      </c>
      <c r="D41" s="3">
        <f>Bitácora!C43</f>
        <v>5</v>
      </c>
      <c r="E41" s="3">
        <f>Bitácora!F43</f>
        <v>0</v>
      </c>
      <c r="F41" s="3">
        <f>Bitácora!G43</f>
        <v>0</v>
      </c>
      <c r="G41" s="3">
        <f>Bitácora!H43</f>
        <v>0</v>
      </c>
      <c r="H41" s="3">
        <f>Bitácora!I43</f>
        <v>0</v>
      </c>
      <c r="I41" s="3">
        <f>Bitácora!J43</f>
        <v>0</v>
      </c>
      <c r="J41" s="3">
        <f>Bitácora!R43</f>
        <v>0</v>
      </c>
    </row>
    <row r="42" spans="1:10" hidden="1" x14ac:dyDescent="0.2">
      <c r="A42" s="6">
        <f>Bitácora!A44</f>
        <v>46001</v>
      </c>
      <c r="B42" s="3" t="str">
        <f>Bitácora!B44</f>
        <v>Liliam-Idalia</v>
      </c>
      <c r="C42" s="3" t="str">
        <f>Bitácora!Q44</f>
        <v>PCBP04102</v>
      </c>
      <c r="D42" s="3">
        <f>Bitácora!C44</f>
        <v>36</v>
      </c>
      <c r="E42" s="3">
        <f>Bitácora!F44</f>
        <v>0</v>
      </c>
      <c r="F42" s="3">
        <f>Bitácora!G44</f>
        <v>0</v>
      </c>
      <c r="G42" s="3">
        <f>Bitácora!H44</f>
        <v>0</v>
      </c>
      <c r="H42" s="3">
        <f>Bitácora!I44</f>
        <v>0</v>
      </c>
      <c r="I42" s="3">
        <f>Bitácora!J44</f>
        <v>0</v>
      </c>
      <c r="J42" s="3">
        <f>Bitácora!R44</f>
        <v>0</v>
      </c>
    </row>
    <row r="43" spans="1:10" hidden="1" x14ac:dyDescent="0.2">
      <c r="A43" s="6">
        <f>Bitácora!A45</f>
        <v>46001</v>
      </c>
      <c r="B43" s="3" t="str">
        <f>Bitácora!B45</f>
        <v>Liliam-Idalia</v>
      </c>
      <c r="C43" s="3" t="str">
        <f>Bitácora!Q45</f>
        <v>PABP07013</v>
      </c>
      <c r="D43" s="3">
        <f>Bitácora!C45</f>
        <v>59</v>
      </c>
      <c r="E43" s="3">
        <f>Bitácora!F45</f>
        <v>0</v>
      </c>
      <c r="F43" s="3">
        <f>Bitácora!G45</f>
        <v>0</v>
      </c>
      <c r="G43" s="3">
        <f>Bitácora!H45</f>
        <v>0</v>
      </c>
      <c r="H43" s="3">
        <f>Bitácora!I45</f>
        <v>0</v>
      </c>
      <c r="I43" s="3">
        <f>Bitácora!J45</f>
        <v>0</v>
      </c>
      <c r="J43" s="3">
        <f>Bitácora!R45</f>
        <v>0</v>
      </c>
    </row>
    <row r="44" spans="1:10" hidden="1" x14ac:dyDescent="0.2">
      <c r="A44" s="6">
        <f>Bitácora!A46</f>
        <v>46001</v>
      </c>
      <c r="B44" s="3" t="str">
        <f>Bitácora!B46</f>
        <v>Liliam-Idalia</v>
      </c>
      <c r="C44" s="3" t="str">
        <f>Bitácora!Q46</f>
        <v>PJBP04006</v>
      </c>
      <c r="D44" s="3">
        <f>Bitácora!C46</f>
        <v>75</v>
      </c>
      <c r="E44" s="3">
        <f>Bitácora!F46</f>
        <v>0</v>
      </c>
      <c r="F44" s="3">
        <f>Bitácora!G46</f>
        <v>0</v>
      </c>
      <c r="G44" s="3">
        <f>Bitácora!H46</f>
        <v>0</v>
      </c>
      <c r="H44" s="3">
        <f>Bitácora!I46</f>
        <v>0</v>
      </c>
      <c r="I44" s="3">
        <f>Bitácora!J46</f>
        <v>0</v>
      </c>
      <c r="J44" s="3">
        <f>Bitácora!R46</f>
        <v>0</v>
      </c>
    </row>
    <row r="45" spans="1:10" hidden="1" x14ac:dyDescent="0.2">
      <c r="A45" s="6">
        <f>Bitácora!A47</f>
        <v>46001</v>
      </c>
      <c r="B45" s="3" t="str">
        <f>Bitácora!B47</f>
        <v>Liliam-Idalia</v>
      </c>
      <c r="C45" s="3" t="str">
        <f>Bitácora!Q47</f>
        <v>PAMP03119</v>
      </c>
      <c r="D45" s="3">
        <f>Bitácora!C47</f>
        <v>6</v>
      </c>
      <c r="E45" s="3">
        <f>Bitácora!F47</f>
        <v>0</v>
      </c>
      <c r="F45" s="3">
        <f>Bitácora!G47</f>
        <v>0</v>
      </c>
      <c r="G45" s="3">
        <f>Bitácora!H47</f>
        <v>0</v>
      </c>
      <c r="H45" s="3">
        <f>Bitácora!I47</f>
        <v>0</v>
      </c>
      <c r="I45" s="3">
        <f>Bitácora!J47</f>
        <v>0</v>
      </c>
      <c r="J45" s="3">
        <f>Bitácora!R47</f>
        <v>0</v>
      </c>
    </row>
    <row r="46" spans="1:10" hidden="1" x14ac:dyDescent="0.2">
      <c r="A46" s="6">
        <f>Bitácora!A48</f>
        <v>46001</v>
      </c>
      <c r="B46" s="3" t="str">
        <f>Bitácora!B48</f>
        <v>Liliam-Idalia</v>
      </c>
      <c r="C46" s="3" t="str">
        <f>Bitácora!Q48</f>
        <v>PABP04066</v>
      </c>
      <c r="D46" s="3">
        <f>Bitácora!C48</f>
        <v>75</v>
      </c>
      <c r="E46" s="3">
        <f>Bitácora!F48</f>
        <v>0</v>
      </c>
      <c r="F46" s="3">
        <f>Bitácora!G48</f>
        <v>0</v>
      </c>
      <c r="G46" s="3">
        <f>Bitácora!H48</f>
        <v>0</v>
      </c>
      <c r="H46" s="3">
        <f>Bitácora!I48</f>
        <v>0</v>
      </c>
      <c r="I46" s="3">
        <f>Bitácora!J48</f>
        <v>0</v>
      </c>
      <c r="J46" s="3">
        <f>Bitácora!R48</f>
        <v>0</v>
      </c>
    </row>
    <row r="47" spans="1:10" hidden="1" x14ac:dyDescent="0.2">
      <c r="A47" s="6">
        <f>Bitácora!A49</f>
        <v>46001</v>
      </c>
      <c r="B47" s="3" t="str">
        <f>Bitácora!B49</f>
        <v>Liliam-Idalia</v>
      </c>
      <c r="C47" s="3" t="str">
        <f>Bitácora!Q49</f>
        <v>PSBP04027</v>
      </c>
      <c r="D47" s="3">
        <f>Bitácora!C49</f>
        <v>100</v>
      </c>
      <c r="E47" s="3">
        <f>Bitácora!F49</f>
        <v>0</v>
      </c>
      <c r="F47" s="3">
        <f>Bitácora!G49</f>
        <v>0</v>
      </c>
      <c r="G47" s="3">
        <f>Bitácora!H49</f>
        <v>0</v>
      </c>
      <c r="H47" s="3">
        <f>Bitácora!I49</f>
        <v>0</v>
      </c>
      <c r="I47" s="3">
        <f>Bitácora!J49</f>
        <v>0</v>
      </c>
      <c r="J47" s="3">
        <f>Bitácora!R49</f>
        <v>0</v>
      </c>
    </row>
    <row r="48" spans="1:10" hidden="1" x14ac:dyDescent="0.2">
      <c r="A48" s="6">
        <f>Bitácora!A50</f>
        <v>46001</v>
      </c>
      <c r="B48" s="3" t="str">
        <f>Bitácora!B50</f>
        <v>Liliam-Lidia</v>
      </c>
      <c r="C48" s="3" t="str">
        <f>Bitácora!Q50</f>
        <v>PCBP04102</v>
      </c>
      <c r="D48" s="3">
        <f>Bitácora!C50</f>
        <v>8</v>
      </c>
      <c r="E48" s="3">
        <f>Bitácora!F50</f>
        <v>0</v>
      </c>
      <c r="F48" s="3">
        <f>Bitácora!G50</f>
        <v>0</v>
      </c>
      <c r="G48" s="3">
        <f>Bitácora!H50</f>
        <v>0</v>
      </c>
      <c r="H48" s="3">
        <f>Bitácora!I50</f>
        <v>0</v>
      </c>
      <c r="I48" s="3">
        <f>Bitácora!J50</f>
        <v>0</v>
      </c>
      <c r="J48" s="3">
        <f>Bitácora!R50</f>
        <v>0</v>
      </c>
    </row>
    <row r="49" spans="1:10" hidden="1" x14ac:dyDescent="0.2">
      <c r="A49" s="6">
        <f>Bitácora!A51</f>
        <v>46001</v>
      </c>
      <c r="B49" s="3" t="str">
        <f>Bitácora!B51</f>
        <v>Liliam-Lidia</v>
      </c>
      <c r="C49" s="3" t="str">
        <f>Bitácora!Q51</f>
        <v>PCBP04104</v>
      </c>
      <c r="D49" s="3">
        <f>Bitácora!C51</f>
        <v>29</v>
      </c>
      <c r="E49" s="3">
        <f>Bitácora!F51</f>
        <v>0</v>
      </c>
      <c r="F49" s="3">
        <f>Bitácora!G51</f>
        <v>0</v>
      </c>
      <c r="G49" s="3">
        <f>Bitácora!H51</f>
        <v>0</v>
      </c>
      <c r="H49" s="3">
        <f>Bitácora!I51</f>
        <v>0</v>
      </c>
      <c r="I49" s="3">
        <f>Bitácora!J51</f>
        <v>0</v>
      </c>
      <c r="J49" s="3">
        <f>Bitácora!R51</f>
        <v>0</v>
      </c>
    </row>
    <row r="50" spans="1:10" hidden="1" x14ac:dyDescent="0.2">
      <c r="A50" s="6">
        <f>Bitácora!A52</f>
        <v>0</v>
      </c>
      <c r="B50" s="3">
        <f>Bitácora!B52</f>
        <v>0</v>
      </c>
      <c r="C50" s="3">
        <f>Bitácora!Q52</f>
        <v>0</v>
      </c>
      <c r="D50" s="3">
        <f>Bitácora!C52</f>
        <v>0</v>
      </c>
      <c r="E50" s="3">
        <f>Bitácora!F52</f>
        <v>0</v>
      </c>
      <c r="F50" s="3">
        <f>Bitácora!G52</f>
        <v>0</v>
      </c>
      <c r="G50" s="3">
        <f>Bitácora!H52</f>
        <v>0</v>
      </c>
      <c r="H50" s="3">
        <f>Bitácora!I52</f>
        <v>0</v>
      </c>
      <c r="I50" s="3">
        <f>Bitácora!J52</f>
        <v>0</v>
      </c>
      <c r="J50" s="3">
        <f>Bitácora!R52</f>
        <v>0</v>
      </c>
    </row>
    <row r="51" spans="1:10" hidden="1" x14ac:dyDescent="0.2">
      <c r="A51" s="6">
        <f>Bitácora!A53</f>
        <v>0</v>
      </c>
      <c r="B51" s="3">
        <f>Bitácora!B53</f>
        <v>0</v>
      </c>
      <c r="C51" s="3">
        <f>Bitácora!Q53</f>
        <v>0</v>
      </c>
      <c r="D51" s="3">
        <f>Bitácora!C53</f>
        <v>0</v>
      </c>
      <c r="E51" s="3">
        <f>Bitácora!F53</f>
        <v>0</v>
      </c>
      <c r="F51" s="3">
        <f>Bitácora!G53</f>
        <v>0</v>
      </c>
      <c r="G51" s="3">
        <f>Bitácora!H53</f>
        <v>0</v>
      </c>
      <c r="H51" s="3">
        <f>Bitácora!I53</f>
        <v>0</v>
      </c>
      <c r="I51" s="3">
        <f>Bitácora!J53</f>
        <v>0</v>
      </c>
      <c r="J51" s="3">
        <f>Bitácora!R53</f>
        <v>0</v>
      </c>
    </row>
  </sheetData>
  <autoFilter ref="A2:J51" xr:uid="{00000000-0009-0000-0000-000001000000}">
    <filterColumn colId="4">
      <filters>
        <filter val="Aralia fabia 5 plantas de 70 cm"/>
        <filter val="Aralia fabia 7 plantas de 70 cm"/>
        <filter val="Ficus Lyriata 1 plantas de 50 cm"/>
        <filter val="Gardenias 1 plantas de 10 pulgadas"/>
        <filter val="Queso suizo 5 plantas de 6 pulgadas"/>
      </filters>
    </filterColumn>
  </autoFilter>
  <mergeCells count="1">
    <mergeCell ref="A1:J1"/>
  </mergeCells>
  <pageMargins left="0.7" right="0.7" top="0.75" bottom="0.75" header="0.3" footer="0.3"/>
  <pageSetup orientation="landscape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69"/>
  <sheetViews>
    <sheetView tabSelected="1" workbookViewId="0">
      <selection activeCell="I61" sqref="I61"/>
    </sheetView>
  </sheetViews>
  <sheetFormatPr defaultColWidth="10.76171875" defaultRowHeight="15" x14ac:dyDescent="0.2"/>
  <cols>
    <col min="4" max="4" width="23.5390625" customWidth="1"/>
    <col min="5" max="5" width="25.421875" customWidth="1"/>
    <col min="6" max="6" width="11.8359375" bestFit="1" customWidth="1"/>
  </cols>
  <sheetData>
    <row r="1" spans="1:6" x14ac:dyDescent="0.2">
      <c r="A1" s="28" t="s">
        <v>28</v>
      </c>
      <c r="B1" s="28"/>
      <c r="C1" s="28"/>
      <c r="D1" s="28"/>
      <c r="E1" s="28"/>
      <c r="F1" s="28"/>
    </row>
    <row r="2" spans="1:6" x14ac:dyDescent="0.2">
      <c r="A2" s="19" t="s">
        <v>14</v>
      </c>
      <c r="B2" s="19" t="s">
        <v>2</v>
      </c>
      <c r="C2" s="19" t="s">
        <v>15</v>
      </c>
      <c r="D2" s="19" t="s">
        <v>23</v>
      </c>
      <c r="E2" s="1" t="s">
        <v>29</v>
      </c>
      <c r="F2" s="1" t="s">
        <v>6</v>
      </c>
    </row>
    <row r="3" spans="1:6" hidden="1" x14ac:dyDescent="0.2">
      <c r="A3" s="5">
        <f>Bitácora!A5</f>
        <v>45992</v>
      </c>
      <c r="B3" s="3" t="str">
        <f>Bitácora!B5</f>
        <v>liliam-Lidia</v>
      </c>
      <c r="C3" s="3">
        <f>Bitácora!C5</f>
        <v>10</v>
      </c>
      <c r="D3" s="3">
        <f>Bitácora!P5</f>
        <v>0</v>
      </c>
      <c r="E3" s="3">
        <f>Bitácora!S5</f>
        <v>0</v>
      </c>
      <c r="F3" s="3" t="str">
        <f>Bitácora!Q5</f>
        <v>PFMP03200</v>
      </c>
    </row>
    <row r="4" spans="1:6" hidden="1" x14ac:dyDescent="0.2">
      <c r="A4" s="5">
        <f>Bitácora!A6</f>
        <v>45992</v>
      </c>
      <c r="B4" s="3" t="str">
        <f>Bitácora!B6</f>
        <v>Liliam-Lidia</v>
      </c>
      <c r="C4" s="3">
        <f>Bitácora!C6</f>
        <v>15</v>
      </c>
      <c r="D4" s="3">
        <f>Bitácora!P6</f>
        <v>0</v>
      </c>
      <c r="E4" s="3">
        <f>Bitácora!S6</f>
        <v>0</v>
      </c>
      <c r="F4" s="3" t="str">
        <f>Bitácora!Q6</f>
        <v>PAMP40017</v>
      </c>
    </row>
    <row r="5" spans="1:6" hidden="1" x14ac:dyDescent="0.2">
      <c r="A5" s="5">
        <f>Bitácora!A7</f>
        <v>45992</v>
      </c>
      <c r="B5" s="3" t="str">
        <f>Bitácora!B7</f>
        <v>Julio-Alberto</v>
      </c>
      <c r="C5" s="3">
        <f>Bitácora!C7</f>
        <v>500</v>
      </c>
      <c r="D5" s="3">
        <f>Bitácora!P7</f>
        <v>0</v>
      </c>
      <c r="E5" s="3">
        <f>Bitácora!S7</f>
        <v>0</v>
      </c>
      <c r="F5" s="3" t="str">
        <f>Bitácora!Q7</f>
        <v>PGBP04001</v>
      </c>
    </row>
    <row r="6" spans="1:6" hidden="1" x14ac:dyDescent="0.2">
      <c r="A6" s="5">
        <f>Bitácora!A8</f>
        <v>45994</v>
      </c>
      <c r="B6" s="3" t="str">
        <f>Bitácora!B8</f>
        <v>Liliam-Lidia-Alberto</v>
      </c>
      <c r="C6" s="3">
        <f>Bitácora!C8</f>
        <v>20</v>
      </c>
      <c r="D6" s="3">
        <f>Bitácora!P8</f>
        <v>0</v>
      </c>
      <c r="E6" s="3">
        <f>Bitácora!S8</f>
        <v>0</v>
      </c>
      <c r="F6" s="3" t="str">
        <f>Bitácora!Q8</f>
        <v>PQCA01001</v>
      </c>
    </row>
    <row r="7" spans="1:6" hidden="1" x14ac:dyDescent="0.2">
      <c r="A7" s="5">
        <f>Bitácora!A9</f>
        <v>45994</v>
      </c>
      <c r="B7" s="3" t="str">
        <f>Bitácora!B9</f>
        <v>Liliam-Lidia-Alberto</v>
      </c>
      <c r="C7" s="3">
        <f>Bitácora!C9</f>
        <v>15</v>
      </c>
      <c r="D7" s="3">
        <f>Bitácora!P9</f>
        <v>0</v>
      </c>
      <c r="E7" s="3">
        <f>Bitácora!S9</f>
        <v>0</v>
      </c>
      <c r="F7" s="3" t="str">
        <f>Bitácora!Q9</f>
        <v>PAMP03017</v>
      </c>
    </row>
    <row r="8" spans="1:6" hidden="1" x14ac:dyDescent="0.2">
      <c r="A8" s="5">
        <f>Bitácora!A10</f>
        <v>45994</v>
      </c>
      <c r="B8" s="3" t="str">
        <f>Bitácora!B10</f>
        <v>Liliam-Lidia-Alberto</v>
      </c>
      <c r="C8" s="3">
        <f>Bitácora!C10</f>
        <v>30</v>
      </c>
      <c r="D8" s="3">
        <f>Bitácora!P10</f>
        <v>0</v>
      </c>
      <c r="E8" s="3">
        <f>Bitácora!S10</f>
        <v>0</v>
      </c>
      <c r="F8" s="3" t="str">
        <f>Bitácora!Q10</f>
        <v>PAMP40017</v>
      </c>
    </row>
    <row r="9" spans="1:6" hidden="1" x14ac:dyDescent="0.2">
      <c r="A9" s="5">
        <f>Bitácora!A11</f>
        <v>45995</v>
      </c>
      <c r="B9" s="3" t="str">
        <f>Bitácora!B11</f>
        <v>Liliam-Lidia</v>
      </c>
      <c r="C9" s="3">
        <f>Bitácora!C11</f>
        <v>31</v>
      </c>
      <c r="D9" s="3">
        <f>Bitácora!P11</f>
        <v>0</v>
      </c>
      <c r="E9" s="3">
        <f>Bitácora!S11</f>
        <v>0</v>
      </c>
      <c r="F9" s="3" t="str">
        <f>Bitácora!Q11</f>
        <v>PPBP07006</v>
      </c>
    </row>
    <row r="10" spans="1:6" hidden="1" x14ac:dyDescent="0.2">
      <c r="A10" s="5">
        <f>Bitácora!A12</f>
        <v>45995</v>
      </c>
      <c r="B10" s="3" t="str">
        <f>Bitácora!B12</f>
        <v>Liliam-Lidia</v>
      </c>
      <c r="C10" s="3">
        <f>Bitácora!C12</f>
        <v>1</v>
      </c>
      <c r="D10" s="3">
        <f>Bitácora!P12</f>
        <v>0</v>
      </c>
      <c r="E10" s="3">
        <f>Bitácora!S12</f>
        <v>0</v>
      </c>
      <c r="F10" s="3" t="str">
        <f>Bitácora!Q12</f>
        <v>PAMP04128</v>
      </c>
    </row>
    <row r="11" spans="1:6" ht="27.75" x14ac:dyDescent="0.2">
      <c r="A11" s="5">
        <f>Bitácora!A13</f>
        <v>45995</v>
      </c>
      <c r="B11" s="3" t="str">
        <f>Bitácora!B13</f>
        <v>Fermin-Julio</v>
      </c>
      <c r="C11" s="3">
        <f>Bitácora!C13</f>
        <v>1</v>
      </c>
      <c r="D11" s="3" t="str">
        <f>Bitácora!P13</f>
        <v>1 Croto punctatum malla circ MP#6</v>
      </c>
      <c r="E11" s="3" t="str">
        <f>Bitácora!S13</f>
        <v>venian muertas</v>
      </c>
      <c r="F11" s="3" t="str">
        <f>Bitácora!Q13</f>
        <v>PCMP06040</v>
      </c>
    </row>
    <row r="12" spans="1:6" ht="27.75" x14ac:dyDescent="0.2">
      <c r="A12" s="5">
        <f>Bitácora!A14</f>
        <v>45995</v>
      </c>
      <c r="B12" s="3" t="str">
        <f>Bitácora!B14</f>
        <v>Fermin-Julio</v>
      </c>
      <c r="C12" s="3">
        <f>Bitácora!C14</f>
        <v>7</v>
      </c>
      <c r="D12" s="3" t="str">
        <f>Bitácora!P14</f>
        <v>7 schefflera mini trenza MP#5</v>
      </c>
      <c r="E12" s="3" t="str">
        <f>Bitácora!S14</f>
        <v>venian muertas</v>
      </c>
      <c r="F12" s="3" t="str">
        <f>Bitácora!Q14</f>
        <v>PSMP05013</v>
      </c>
    </row>
    <row r="13" spans="1:6" x14ac:dyDescent="0.2">
      <c r="A13" s="5">
        <f>Bitácora!A15</f>
        <v>45995</v>
      </c>
      <c r="B13" s="3" t="str">
        <f>Bitácora!B15</f>
        <v>Fermin-Julio</v>
      </c>
      <c r="C13" s="3">
        <f>Bitácora!C15</f>
        <v>1</v>
      </c>
      <c r="D13" s="3" t="str">
        <f>Bitácora!P15</f>
        <v>1 Ficus brasil MP#3 dec</v>
      </c>
      <c r="E13" s="3" t="str">
        <f>Bitácora!S15</f>
        <v>venian muertas</v>
      </c>
      <c r="F13" s="3" t="str">
        <f>Bitácora!Q15</f>
        <v>PFMP03120</v>
      </c>
    </row>
    <row r="14" spans="1:6" ht="27.75" x14ac:dyDescent="0.2">
      <c r="A14" s="5">
        <f>Bitácora!A16</f>
        <v>45995</v>
      </c>
      <c r="B14" s="3" t="str">
        <f>Bitácora!B16</f>
        <v>Fermin-Julio</v>
      </c>
      <c r="C14" s="3">
        <f>Bitácora!C16</f>
        <v>10</v>
      </c>
      <c r="D14" s="3" t="str">
        <f>Bitácora!P16</f>
        <v>10 Croto petra amarillo bolsa 9*12</v>
      </c>
      <c r="E14" s="3" t="str">
        <f>Bitácora!S16</f>
        <v>venian muertas</v>
      </c>
      <c r="F14" s="3" t="str">
        <f>Bitácora!Q16</f>
        <v>PCBP04038</v>
      </c>
    </row>
    <row r="15" spans="1:6" x14ac:dyDescent="0.2">
      <c r="A15" s="5">
        <f>Bitácora!A17</f>
        <v>45995</v>
      </c>
      <c r="B15" s="3" t="str">
        <f>Bitácora!B17</f>
        <v>Fermin-Julio</v>
      </c>
      <c r="C15" s="3">
        <f>Bitácora!C17</f>
        <v>1</v>
      </c>
      <c r="D15" s="3" t="str">
        <f>Bitácora!P17</f>
        <v>1 Peperomia MP#4</v>
      </c>
      <c r="E15" s="3" t="str">
        <f>Bitácora!S17</f>
        <v>venian muertas</v>
      </c>
      <c r="F15" s="3" t="str">
        <f>Bitácora!Q17</f>
        <v>PPMP04017</v>
      </c>
    </row>
    <row r="16" spans="1:6" x14ac:dyDescent="0.2">
      <c r="A16" s="5">
        <f>Bitácora!A18</f>
        <v>45995</v>
      </c>
      <c r="B16" s="3" t="str">
        <f>Bitácora!B18</f>
        <v>Fermin-Julio</v>
      </c>
      <c r="C16" s="3">
        <f>Bitácora!C18</f>
        <v>1</v>
      </c>
      <c r="D16" s="3" t="str">
        <f>Bitácora!P18</f>
        <v>1 potho joy variegado PC#1</v>
      </c>
      <c r="E16" s="3" t="str">
        <f>Bitácora!S18</f>
        <v>venian muertas</v>
      </c>
      <c r="F16" s="3" t="str">
        <f>Bitácora!Q18</f>
        <v>PPCA01037</v>
      </c>
    </row>
    <row r="17" spans="1:6" ht="27.75" x14ac:dyDescent="0.2">
      <c r="A17" s="5">
        <f>Bitácora!A19</f>
        <v>45995</v>
      </c>
      <c r="B17" s="3" t="str">
        <f>Bitácora!B19</f>
        <v>Fermin-Julio</v>
      </c>
      <c r="C17" s="3">
        <f>Bitácora!C19</f>
        <v>10</v>
      </c>
      <c r="D17" s="3" t="str">
        <f>Bitácora!P19</f>
        <v>10 Croto batick trenza MP#5</v>
      </c>
      <c r="E17" s="3" t="str">
        <f>Bitácora!S19</f>
        <v>venian muertas</v>
      </c>
      <c r="F17" s="3" t="str">
        <f>Bitácora!Q19</f>
        <v>PCMP05035</v>
      </c>
    </row>
    <row r="18" spans="1:6" x14ac:dyDescent="0.2">
      <c r="A18" s="5">
        <f>Bitácora!A20</f>
        <v>45995</v>
      </c>
      <c r="B18" s="3" t="str">
        <f>Bitácora!B20</f>
        <v>Fermin-Julio</v>
      </c>
      <c r="C18" s="3">
        <f>Bitácora!C20</f>
        <v>13</v>
      </c>
      <c r="D18" s="3" t="str">
        <f>Bitácora!P20</f>
        <v>13 Croto batick bolsa 9*12</v>
      </c>
      <c r="E18" s="3" t="str">
        <f>Bitácora!S20</f>
        <v>venian muertas</v>
      </c>
      <c r="F18" s="3" t="str">
        <f>Bitácora!Q20</f>
        <v>PCBP04035</v>
      </c>
    </row>
    <row r="19" spans="1:6" x14ac:dyDescent="0.2">
      <c r="A19" s="5">
        <f>Bitácora!A21</f>
        <v>45995</v>
      </c>
      <c r="B19" s="3" t="str">
        <f>Bitácora!B21</f>
        <v>Fermin-Julio</v>
      </c>
      <c r="C19" s="3">
        <f>Bitácora!C21</f>
        <v>3</v>
      </c>
      <c r="D19" s="3" t="str">
        <f>Bitácora!P21</f>
        <v>3 Diaffembaqui MP#4</v>
      </c>
      <c r="E19" s="3" t="str">
        <f>Bitácora!S21</f>
        <v>venian muertas</v>
      </c>
      <c r="F19" s="3" t="str">
        <f>Bitácora!Q21</f>
        <v>PDMP04103</v>
      </c>
    </row>
    <row r="20" spans="1:6" x14ac:dyDescent="0.2">
      <c r="A20" s="5">
        <f>Bitácora!A22</f>
        <v>45995</v>
      </c>
      <c r="B20" s="3" t="str">
        <f>Bitácora!B22</f>
        <v>Fermin-Julio</v>
      </c>
      <c r="C20" s="3">
        <f>Bitácora!C22</f>
        <v>1</v>
      </c>
      <c r="D20" s="3" t="str">
        <f>Bitácora!P22</f>
        <v>1 Palmera areca MP#4 dec</v>
      </c>
      <c r="E20" s="3" t="str">
        <f>Bitácora!S22</f>
        <v>venian muertas</v>
      </c>
      <c r="F20" s="3" t="str">
        <f>Bitácora!Q22</f>
        <v>PDMP04002</v>
      </c>
    </row>
    <row r="21" spans="1:6" x14ac:dyDescent="0.2">
      <c r="A21" s="5">
        <f>Bitácora!A23</f>
        <v>45995</v>
      </c>
      <c r="B21" s="3" t="str">
        <f>Bitácora!B23</f>
        <v>Fermin-Julio</v>
      </c>
      <c r="C21" s="3">
        <f>Bitácora!C23</f>
        <v>1</v>
      </c>
      <c r="D21" s="3" t="str">
        <f>Bitácora!P23</f>
        <v>1 Potho limon PC#1</v>
      </c>
      <c r="E21" s="3" t="str">
        <f>Bitácora!S23</f>
        <v>venian muertas</v>
      </c>
      <c r="F21" s="3" t="str">
        <f>Bitácora!Q23</f>
        <v>PPCA01039</v>
      </c>
    </row>
    <row r="22" spans="1:6" ht="27.75" x14ac:dyDescent="0.2">
      <c r="A22" s="5">
        <f>Bitácora!A24</f>
        <v>45995</v>
      </c>
      <c r="B22" s="3" t="str">
        <f>Bitácora!B24</f>
        <v>Fermin-Julio</v>
      </c>
      <c r="C22" s="3">
        <f>Bitácora!C24</f>
        <v>1</v>
      </c>
      <c r="D22" s="3" t="str">
        <f>Bitácora!P24</f>
        <v>1 Aralia penockii malla circ MP#6</v>
      </c>
      <c r="E22" s="3" t="str">
        <f>Bitácora!S24</f>
        <v>venian muertas</v>
      </c>
      <c r="F22" s="3" t="str">
        <f>Bitácora!Q24</f>
        <v>PAMP06017</v>
      </c>
    </row>
    <row r="23" spans="1:6" ht="27.75" x14ac:dyDescent="0.2">
      <c r="A23" s="5">
        <f>Bitácora!A25</f>
        <v>45995</v>
      </c>
      <c r="B23" s="3" t="str">
        <f>Bitácora!B25</f>
        <v>Fermin-Julio</v>
      </c>
      <c r="C23" s="3">
        <f>Bitácora!C25</f>
        <v>18</v>
      </c>
      <c r="D23" s="3" t="str">
        <f>Bitácora!P25</f>
        <v>18 Arreglos combinados MP34</v>
      </c>
      <c r="E23" s="3" t="str">
        <f>Bitácora!S25</f>
        <v>venian muertas</v>
      </c>
      <c r="F23" s="3" t="str">
        <f>Bitácora!Q25</f>
        <v>PAMP04021</v>
      </c>
    </row>
    <row r="24" spans="1:6" x14ac:dyDescent="0.2">
      <c r="A24" s="5">
        <f>Bitácora!A26</f>
        <v>45995</v>
      </c>
      <c r="B24" s="3" t="str">
        <f>Bitácora!B26</f>
        <v>liliam-Lidia</v>
      </c>
      <c r="C24" s="3">
        <f>Bitácora!C26</f>
        <v>9</v>
      </c>
      <c r="D24" s="3" t="str">
        <f>Bitácora!P26</f>
        <v>9 Diaffembaquias MP#4</v>
      </c>
      <c r="E24" s="3" t="str">
        <f>Bitácora!S26</f>
        <v>En adaptación se mruieron</v>
      </c>
      <c r="F24" s="3" t="str">
        <f>Bitácora!Q26</f>
        <v>PDMP04103</v>
      </c>
    </row>
    <row r="25" spans="1:6" x14ac:dyDescent="0.2">
      <c r="A25" s="5">
        <f>Bitácora!A27</f>
        <v>45995</v>
      </c>
      <c r="B25" s="3" t="str">
        <f>Bitácora!B27</f>
        <v>liliam-Lidia</v>
      </c>
      <c r="C25" s="3">
        <f>Bitácora!C27</f>
        <v>57</v>
      </c>
      <c r="D25" s="3" t="str">
        <f>Bitácora!P27</f>
        <v>57 Peperomia MP#4</v>
      </c>
      <c r="E25" s="3" t="str">
        <f>Bitácora!S27</f>
        <v>En adaptación se mruieron</v>
      </c>
      <c r="F25" s="3" t="str">
        <f>Bitácora!Q27</f>
        <v>PPMP04017</v>
      </c>
    </row>
    <row r="26" spans="1:6" x14ac:dyDescent="0.2">
      <c r="A26" s="5">
        <f>Bitácora!A28</f>
        <v>45995</v>
      </c>
      <c r="B26" s="3" t="str">
        <f>Bitácora!B28</f>
        <v>liliam-Lidia</v>
      </c>
      <c r="C26" s="3">
        <f>Bitácora!C28</f>
        <v>13</v>
      </c>
      <c r="D26" s="3" t="str">
        <f>Bitácora!P28</f>
        <v>13 Junipero MP#4</v>
      </c>
      <c r="E26" s="3" t="str">
        <f>Bitácora!S28</f>
        <v>En adaptación se mruieron</v>
      </c>
      <c r="F26" s="3" t="str">
        <f>Bitácora!Q28</f>
        <v>PJMP04006</v>
      </c>
    </row>
    <row r="27" spans="1:6" x14ac:dyDescent="0.2">
      <c r="A27" s="5">
        <f>Bitácora!A29</f>
        <v>45995</v>
      </c>
      <c r="B27" s="3" t="str">
        <f>Bitácora!B29</f>
        <v>liliam-Lidia</v>
      </c>
      <c r="C27" s="3">
        <f>Bitácora!C29</f>
        <v>9</v>
      </c>
      <c r="D27" s="3" t="str">
        <f>Bitácora!P29</f>
        <v>9 Croto batick trenza MP#5</v>
      </c>
      <c r="E27" s="3" t="str">
        <f>Bitácora!S29</f>
        <v>En adaptación se mruieron</v>
      </c>
      <c r="F27" s="3" t="str">
        <f>Bitácora!Q29</f>
        <v>PCMP05035</v>
      </c>
    </row>
    <row r="28" spans="1:6" ht="27.75" x14ac:dyDescent="0.2">
      <c r="A28" s="5">
        <f>Bitácora!A30</f>
        <v>45995</v>
      </c>
      <c r="B28" s="3" t="str">
        <f>Bitácora!B30</f>
        <v>liliam-Lidia</v>
      </c>
      <c r="C28" s="3">
        <f>Bitácora!C30</f>
        <v>15</v>
      </c>
      <c r="D28" s="3" t="str">
        <f>Bitácora!P30</f>
        <v>15 Croto gold dust trenza MP#5</v>
      </c>
      <c r="E28" s="3" t="str">
        <f>Bitácora!S30</f>
        <v>En adaptación se mruieron</v>
      </c>
      <c r="F28" s="3" t="str">
        <f>Bitácora!Q30</f>
        <v>PCMP05036</v>
      </c>
    </row>
    <row r="29" spans="1:6" ht="27.75" x14ac:dyDescent="0.2">
      <c r="A29" s="5">
        <f>Bitácora!A31</f>
        <v>45995</v>
      </c>
      <c r="B29" s="3" t="str">
        <f>Bitácora!B31</f>
        <v>liliam-Lidia</v>
      </c>
      <c r="C29" s="3">
        <f>Bitácora!C31</f>
        <v>38</v>
      </c>
      <c r="D29" s="3" t="str">
        <f>Bitácora!P31</f>
        <v>38 Croto petra 3 puntas MP#5</v>
      </c>
      <c r="E29" s="3" t="str">
        <f>Bitácora!S31</f>
        <v>En adaptación se mruieron</v>
      </c>
      <c r="F29" s="3" t="str">
        <f>Bitácora!Q31</f>
        <v>PCMP05039</v>
      </c>
    </row>
    <row r="30" spans="1:6" ht="27.75" x14ac:dyDescent="0.2">
      <c r="A30" s="5">
        <f>Bitácora!A32</f>
        <v>45995</v>
      </c>
      <c r="B30" s="3" t="str">
        <f>Bitácora!B32</f>
        <v>liliam-Lidia</v>
      </c>
      <c r="C30" s="3">
        <f>Bitácora!C32</f>
        <v>18</v>
      </c>
      <c r="D30" s="3" t="str">
        <f>Bitácora!P32</f>
        <v>18 Croto punctatum trenza MP#5</v>
      </c>
      <c r="E30" s="3" t="str">
        <f>Bitácora!S32</f>
        <v>En adaptación se mruieron</v>
      </c>
      <c r="F30" s="3" t="str">
        <f>Bitácora!Q32</f>
        <v>PCMP05040</v>
      </c>
    </row>
    <row r="31" spans="1:6" x14ac:dyDescent="0.2">
      <c r="A31" s="5">
        <f>Bitácora!A33</f>
        <v>45995</v>
      </c>
      <c r="B31" s="3" t="str">
        <f>Bitácora!B33</f>
        <v>liliam-Lidia</v>
      </c>
      <c r="C31" s="3">
        <f>Bitácora!C33</f>
        <v>10</v>
      </c>
      <c r="D31" s="3" t="str">
        <f>Bitácora!P33</f>
        <v>10 Diaffembaquias MP#4</v>
      </c>
      <c r="E31" s="3" t="str">
        <f>Bitácora!S33</f>
        <v>En adaptación se mruieron</v>
      </c>
      <c r="F31" s="3" t="str">
        <f>Bitácora!Q33</f>
        <v>PDMP04103</v>
      </c>
    </row>
    <row r="32" spans="1:6" x14ac:dyDescent="0.2">
      <c r="A32" s="5">
        <f>Bitácora!A34</f>
        <v>45995</v>
      </c>
      <c r="B32" s="3" t="str">
        <f>Bitácora!B34</f>
        <v>liliam-Lidia</v>
      </c>
      <c r="C32" s="3">
        <f>Bitácora!C34</f>
        <v>11</v>
      </c>
      <c r="D32" s="3" t="str">
        <f>Bitácora!P34</f>
        <v>11 Alamanda enana MP#11</v>
      </c>
      <c r="E32" s="3" t="str">
        <f>Bitácora!S34</f>
        <v>Por viejas</v>
      </c>
      <c r="F32" s="3" t="str">
        <f>Bitácora!Q34</f>
        <v>PAMP11038</v>
      </c>
    </row>
    <row r="33" spans="1:6" x14ac:dyDescent="0.2">
      <c r="A33" s="5">
        <f>Bitácora!A35</f>
        <v>45995</v>
      </c>
      <c r="B33" s="3" t="str">
        <f>Bitácora!B35</f>
        <v>liliam-Lidia</v>
      </c>
      <c r="C33" s="3">
        <f>Bitácora!C35</f>
        <v>3</v>
      </c>
      <c r="D33" s="3" t="str">
        <f>Bitácora!P35</f>
        <v>3 Santa marta bolsa 9*12</v>
      </c>
      <c r="E33" s="3" t="str">
        <f>Bitácora!S35</f>
        <v>Por viejas</v>
      </c>
      <c r="F33" s="3" t="str">
        <f>Bitácora!Q35</f>
        <v>PSBP04003</v>
      </c>
    </row>
    <row r="34" spans="1:6" ht="27.75" x14ac:dyDescent="0.2">
      <c r="A34" s="5">
        <f>Bitácora!A36</f>
        <v>45995</v>
      </c>
      <c r="B34" s="3" t="str">
        <f>Bitácora!B36</f>
        <v>liliam-Lidia</v>
      </c>
      <c r="C34" s="3">
        <f>Bitácora!C36</f>
        <v>30</v>
      </c>
      <c r="D34" s="3" t="str">
        <f>Bitácora!P36</f>
        <v>40 Croto punctatum bolsa 9*12</v>
      </c>
      <c r="E34" s="3" t="str">
        <f>Bitácora!S36</f>
        <v>Por viento</v>
      </c>
      <c r="F34" s="3" t="str">
        <f>Bitácora!Q36</f>
        <v>PCBP04040</v>
      </c>
    </row>
    <row r="35" spans="1:6" x14ac:dyDescent="0.2">
      <c r="A35" s="5">
        <f>Bitácora!A37</f>
        <v>45995</v>
      </c>
      <c r="B35" s="3" t="str">
        <f>Bitácora!B37</f>
        <v>liliam-Lidia</v>
      </c>
      <c r="C35" s="3">
        <f>Bitácora!C37</f>
        <v>40</v>
      </c>
      <c r="D35" s="3" t="str">
        <f>Bitácora!P37</f>
        <v>50 Croto Iceton bolsa 9*12</v>
      </c>
      <c r="E35" s="3" t="str">
        <f>Bitácora!S37</f>
        <v>Por viento</v>
      </c>
      <c r="F35" s="3" t="str">
        <f>Bitácora!Q37</f>
        <v>PCBP04037</v>
      </c>
    </row>
    <row r="36" spans="1:6" ht="27.75" x14ac:dyDescent="0.2">
      <c r="A36" s="5">
        <f>Bitácora!A38</f>
        <v>45995</v>
      </c>
      <c r="B36" s="3" t="str">
        <f>Bitácora!B38</f>
        <v>liliam-Lidia</v>
      </c>
      <c r="C36" s="3">
        <f>Bitácora!C38</f>
        <v>114</v>
      </c>
      <c r="D36" s="3" t="str">
        <f>Bitácora!P38</f>
        <v>114 Suculentas Bryophillum MP#4</v>
      </c>
      <c r="E36" s="3" t="str">
        <f>Bitácora!S38</f>
        <v>No se vendieron se murieron por falta de mantenimiento</v>
      </c>
      <c r="F36" s="3" t="str">
        <f>Bitácora!Q38</f>
        <v>PBMP04011</v>
      </c>
    </row>
    <row r="37" spans="1:6" x14ac:dyDescent="0.2">
      <c r="A37" s="5">
        <f>Bitácora!A39</f>
        <v>45995</v>
      </c>
      <c r="B37" s="3" t="str">
        <f>Bitácora!B39</f>
        <v>liliam-Lidia</v>
      </c>
      <c r="C37" s="3">
        <f>Bitácora!C39</f>
        <v>18</v>
      </c>
      <c r="D37" s="3" t="str">
        <f>Bitácora!P39</f>
        <v>18 Acalipha bolsa 9*12</v>
      </c>
      <c r="E37" s="3" t="str">
        <f>Bitácora!S39</f>
        <v>Se las comio el zompopo</v>
      </c>
      <c r="F37" s="3" t="str">
        <f>Bitácora!Q39</f>
        <v>PABP04040</v>
      </c>
    </row>
    <row r="38" spans="1:6" ht="41.25" x14ac:dyDescent="0.2">
      <c r="A38" s="5">
        <f>Bitácora!A40</f>
        <v>45995</v>
      </c>
      <c r="B38" s="3" t="str">
        <f>Bitácora!B40</f>
        <v>liliam-Lidia</v>
      </c>
      <c r="C38" s="3">
        <f>Bitácora!C40</f>
        <v>10</v>
      </c>
      <c r="D38" s="3" t="str">
        <f>Bitácora!P40</f>
        <v>10 Croto batick malla circ MP#6</v>
      </c>
      <c r="E38" s="3" t="str">
        <f>Bitácora!S40</f>
        <v>Se murieron adaptandose cambio de enraizador a maceta</v>
      </c>
      <c r="F38" s="3" t="str">
        <f>Bitácora!Q40</f>
        <v>PCMP06065</v>
      </c>
    </row>
    <row r="39" spans="1:6" ht="41.25" x14ac:dyDescent="0.2">
      <c r="A39" s="5">
        <f>Bitácora!A41</f>
        <v>45995</v>
      </c>
      <c r="B39" s="3" t="str">
        <f>Bitácora!B41</f>
        <v>liliam-Lidia</v>
      </c>
      <c r="C39" s="3">
        <f>Bitácora!C41</f>
        <v>25</v>
      </c>
      <c r="D39" s="3" t="str">
        <f>Bitácora!P41</f>
        <v>25 Arbol de coral bolsa 14*16</v>
      </c>
      <c r="E39" s="3" t="str">
        <f>Bitácora!S41</f>
        <v>Nunca se vendieron y se pegaron al suelo no se pudieron cambiar de bolsa</v>
      </c>
      <c r="F39" s="3" t="str">
        <f>Bitácora!Q41</f>
        <v>PCBP07100</v>
      </c>
    </row>
    <row r="40" spans="1:6" hidden="1" x14ac:dyDescent="0.2">
      <c r="A40" s="5">
        <f>Bitácora!A42</f>
        <v>46000</v>
      </c>
      <c r="B40" s="3">
        <f>Bitácora!B42</f>
        <v>0</v>
      </c>
      <c r="C40" s="3">
        <f>Bitácora!C42</f>
        <v>20</v>
      </c>
      <c r="D40" s="3">
        <f>Bitácora!P42</f>
        <v>0</v>
      </c>
      <c r="E40" s="3">
        <f>Bitácora!S42</f>
        <v>0</v>
      </c>
      <c r="F40" s="3" t="str">
        <f>Bitácora!Q42</f>
        <v>PAMP03119</v>
      </c>
    </row>
    <row r="41" spans="1:6" x14ac:dyDescent="0.2">
      <c r="A41" s="5">
        <f>Bitácora!A43</f>
        <v>46001</v>
      </c>
      <c r="B41" s="3" t="str">
        <f>Bitácora!B43</f>
        <v>Liliam-Idalia</v>
      </c>
      <c r="C41" s="3">
        <f>Bitácora!C43</f>
        <v>5</v>
      </c>
      <c r="D41" s="3" t="str">
        <f>Bitácora!P43</f>
        <v>5 CIPRES MINI BP 9X12</v>
      </c>
      <c r="E41" s="3" t="str">
        <f>Bitácora!S43</f>
        <v>Por viejas</v>
      </c>
      <c r="F41" s="3" t="str">
        <f>Bitácora!Q43</f>
        <v>PCBP04104</v>
      </c>
    </row>
    <row r="42" spans="1:6" x14ac:dyDescent="0.2">
      <c r="A42" s="5">
        <f>Bitácora!A44</f>
        <v>46001</v>
      </c>
      <c r="B42" s="3" t="str">
        <f>Bitácora!B44</f>
        <v>Liliam-Idalia</v>
      </c>
      <c r="C42" s="3">
        <f>Bitácora!C44</f>
        <v>36</v>
      </c>
      <c r="D42" s="3" t="str">
        <f>Bitácora!P44</f>
        <v>36 JUNIPERUS CHINENSIS</v>
      </c>
      <c r="E42" s="3" t="str">
        <f>Bitácora!S44</f>
        <v>No se adaptaron al clima</v>
      </c>
      <c r="F42" s="3" t="str">
        <f>Bitácora!Q44</f>
        <v>PCBP04102</v>
      </c>
    </row>
    <row r="43" spans="1:6" ht="27.75" x14ac:dyDescent="0.2">
      <c r="A43" s="5">
        <f>Bitácora!A45</f>
        <v>46001</v>
      </c>
      <c r="B43" s="3" t="str">
        <f>Bitácora!B45</f>
        <v>Liliam-Idalia</v>
      </c>
      <c r="C43" s="3">
        <f>Bitácora!C45</f>
        <v>59</v>
      </c>
      <c r="D43" s="3" t="str">
        <f>Bitácora!P45</f>
        <v>59 ARALIA BALFOURIANA BP 14X16</v>
      </c>
      <c r="E43" s="3" t="str">
        <f>Bitácora!S45</f>
        <v>Se pegaron al suelo ya no se pudieron cambiar de bolsa</v>
      </c>
      <c r="F43" s="3" t="str">
        <f>Bitácora!Q45</f>
        <v>PABP07013</v>
      </c>
    </row>
    <row r="44" spans="1:6" ht="27.75" x14ac:dyDescent="0.2">
      <c r="A44" s="5">
        <f>Bitácora!A46</f>
        <v>46001</v>
      </c>
      <c r="B44" s="3" t="str">
        <f>Bitácora!B46</f>
        <v>Liliam-Idalia</v>
      </c>
      <c r="C44" s="3">
        <f>Bitácora!C46</f>
        <v>75</v>
      </c>
      <c r="D44" s="3" t="str">
        <f>Bitácora!P46</f>
        <v>75 JUNIPERO BP 9X12</v>
      </c>
      <c r="E44" s="3" t="str">
        <f>Bitácora!S46</f>
        <v>Se murieron adaptandose cambio de bolsa</v>
      </c>
      <c r="F44" s="3" t="str">
        <f>Bitácora!Q46</f>
        <v>PJBP04006</v>
      </c>
    </row>
    <row r="45" spans="1:6" x14ac:dyDescent="0.2">
      <c r="A45" s="5">
        <f>Bitácora!A47</f>
        <v>46001</v>
      </c>
      <c r="B45" s="3" t="str">
        <f>Bitácora!B47</f>
        <v>Liliam-Idalia</v>
      </c>
      <c r="C45" s="3">
        <f>Bitácora!C47</f>
        <v>6</v>
      </c>
      <c r="D45" s="3" t="str">
        <f>Bitácora!P47</f>
        <v>6 Araucarias MP#3 dec</v>
      </c>
      <c r="E45" s="3" t="str">
        <f>Bitácora!S47</f>
        <v>Por viejas en la maceta</v>
      </c>
      <c r="F45" s="3" t="str">
        <f>Bitácora!Q47</f>
        <v>PAMP03119</v>
      </c>
    </row>
    <row r="46" spans="1:6" x14ac:dyDescent="0.2">
      <c r="A46" s="5">
        <f>Bitácora!A48</f>
        <v>46001</v>
      </c>
      <c r="B46" s="3" t="str">
        <f>Bitácora!B48</f>
        <v>Liliam-Idalia</v>
      </c>
      <c r="C46" s="3">
        <f>Bitácora!C48</f>
        <v>75</v>
      </c>
      <c r="D46" s="3" t="str">
        <f>Bitácora!P48</f>
        <v>75 Cedros bolsa 9*12</v>
      </c>
      <c r="E46" s="3" t="str">
        <f>Bitácora!S48</f>
        <v>En adaptación se mruieron</v>
      </c>
      <c r="F46" s="3" t="str">
        <f>Bitácora!Q48</f>
        <v>PABP04066</v>
      </c>
    </row>
    <row r="47" spans="1:6" ht="27.75" x14ac:dyDescent="0.2">
      <c r="A47" s="5">
        <f>Bitácora!A49</f>
        <v>46001</v>
      </c>
      <c r="B47" s="3" t="str">
        <f>Bitácora!B49</f>
        <v>Liliam-Idalia</v>
      </c>
      <c r="C47" s="3">
        <f>Bitácora!C49</f>
        <v>100</v>
      </c>
      <c r="D47" s="3" t="str">
        <f>Bitácora!P49</f>
        <v>100 SABILA BP 9X12</v>
      </c>
      <c r="E47" s="3" t="str">
        <f>Bitácora!S49</f>
        <v>No se vendieron les cayo una rama se murieron</v>
      </c>
      <c r="F47" s="3" t="str">
        <f>Bitácora!Q49</f>
        <v>PSBP04027</v>
      </c>
    </row>
    <row r="48" spans="1:6" hidden="1" x14ac:dyDescent="0.2">
      <c r="A48" s="5">
        <f>Bitácora!A50</f>
        <v>46001</v>
      </c>
      <c r="B48" s="3" t="str">
        <f>Bitácora!B50</f>
        <v>Liliam-Lidia</v>
      </c>
      <c r="C48" s="3">
        <f>Bitácora!C50</f>
        <v>8</v>
      </c>
      <c r="D48" s="3">
        <f>Bitácora!P50</f>
        <v>0</v>
      </c>
      <c r="E48" s="3">
        <f>Bitácora!S50</f>
        <v>0</v>
      </c>
      <c r="F48" s="3" t="str">
        <f>Bitácora!Q50</f>
        <v>PCBP04102</v>
      </c>
    </row>
    <row r="49" spans="1:6" hidden="1" x14ac:dyDescent="0.2">
      <c r="A49" s="5">
        <f>Bitácora!A51</f>
        <v>46001</v>
      </c>
      <c r="B49" s="3" t="str">
        <f>Bitácora!B51</f>
        <v>Liliam-Lidia</v>
      </c>
      <c r="C49" s="3">
        <f>Bitácora!C51</f>
        <v>29</v>
      </c>
      <c r="D49" s="3">
        <f>Bitácora!P51</f>
        <v>0</v>
      </c>
      <c r="E49" s="3">
        <f>Bitácora!S51</f>
        <v>0</v>
      </c>
      <c r="F49" s="3" t="str">
        <f>Bitácora!Q51</f>
        <v>PCBP04104</v>
      </c>
    </row>
    <row r="50" spans="1:6" hidden="1" x14ac:dyDescent="0.2">
      <c r="A50" s="5">
        <f>Bitácora!A52</f>
        <v>0</v>
      </c>
      <c r="B50" s="3">
        <f>Bitácora!B52</f>
        <v>0</v>
      </c>
      <c r="C50" s="3">
        <f>Bitácora!C52</f>
        <v>0</v>
      </c>
      <c r="D50" s="3">
        <f>Bitácora!P52</f>
        <v>0</v>
      </c>
      <c r="E50" s="3">
        <f>Bitácora!S52</f>
        <v>0</v>
      </c>
      <c r="F50" s="3">
        <f>Bitácora!Q52</f>
        <v>0</v>
      </c>
    </row>
    <row r="51" spans="1:6" hidden="1" x14ac:dyDescent="0.2">
      <c r="A51" s="5">
        <f>Bitácora!A53</f>
        <v>0</v>
      </c>
      <c r="B51" s="3">
        <f>Bitácora!B53</f>
        <v>0</v>
      </c>
      <c r="C51" s="3">
        <f>Bitácora!C53</f>
        <v>0</v>
      </c>
      <c r="D51" s="3">
        <f>Bitácora!P53</f>
        <v>0</v>
      </c>
      <c r="E51" s="3">
        <f>Bitácora!S53</f>
        <v>0</v>
      </c>
      <c r="F51" s="3">
        <f>Bitácora!Q53</f>
        <v>0</v>
      </c>
    </row>
    <row r="52" spans="1:6" hidden="1" x14ac:dyDescent="0.2">
      <c r="A52" s="5">
        <f>Bitácora!A54</f>
        <v>0</v>
      </c>
      <c r="B52" s="3">
        <f>Bitácora!B54</f>
        <v>0</v>
      </c>
      <c r="C52" s="3">
        <f>Bitácora!C54</f>
        <v>0</v>
      </c>
      <c r="D52" s="3">
        <f>Bitácora!P54</f>
        <v>0</v>
      </c>
      <c r="E52" s="3">
        <f>Bitácora!S54</f>
        <v>0</v>
      </c>
      <c r="F52" s="3">
        <f>Bitácora!Q54</f>
        <v>0</v>
      </c>
    </row>
    <row r="57" spans="1:6" x14ac:dyDescent="0.2">
      <c r="B57" s="23"/>
      <c r="C57" s="23"/>
      <c r="D57" s="23"/>
      <c r="E57" s="23"/>
    </row>
    <row r="58" spans="1:6" x14ac:dyDescent="0.2">
      <c r="B58" s="23"/>
      <c r="C58" s="23"/>
      <c r="D58" s="23"/>
      <c r="E58" s="23"/>
    </row>
    <row r="59" spans="1:6" x14ac:dyDescent="0.2">
      <c r="B59" s="23"/>
      <c r="C59" s="23"/>
      <c r="D59" s="23"/>
      <c r="E59" s="23"/>
    </row>
    <row r="60" spans="1:6" x14ac:dyDescent="0.2">
      <c r="B60" s="23"/>
      <c r="C60" s="23"/>
      <c r="D60" s="23"/>
      <c r="E60" s="23"/>
    </row>
    <row r="61" spans="1:6" x14ac:dyDescent="0.2">
      <c r="B61" s="23"/>
      <c r="C61" s="23"/>
      <c r="D61" s="23"/>
      <c r="E61" s="23"/>
    </row>
    <row r="62" spans="1:6" x14ac:dyDescent="0.2">
      <c r="B62" s="23"/>
      <c r="C62" s="23"/>
      <c r="D62" s="23"/>
      <c r="E62" s="23"/>
    </row>
    <row r="63" spans="1:6" x14ac:dyDescent="0.2">
      <c r="B63" s="23"/>
      <c r="C63" s="23"/>
      <c r="D63" s="23"/>
      <c r="E63" s="23"/>
    </row>
    <row r="64" spans="1:6" x14ac:dyDescent="0.2">
      <c r="B64" s="23"/>
      <c r="C64" s="23"/>
      <c r="D64" s="23"/>
      <c r="E64" s="23"/>
    </row>
    <row r="65" spans="2:5" x14ac:dyDescent="0.2">
      <c r="B65" s="23"/>
      <c r="C65" s="23"/>
      <c r="D65" s="23"/>
      <c r="E65" s="23"/>
    </row>
    <row r="66" spans="2:5" x14ac:dyDescent="0.2">
      <c r="B66" s="23"/>
      <c r="C66" s="23"/>
      <c r="D66" s="23"/>
      <c r="E66" s="23"/>
    </row>
    <row r="67" spans="2:5" x14ac:dyDescent="0.2">
      <c r="B67" s="23"/>
      <c r="C67" s="23"/>
      <c r="D67" s="23"/>
      <c r="E67" s="23"/>
    </row>
    <row r="68" spans="2:5" x14ac:dyDescent="0.2">
      <c r="B68" s="23"/>
      <c r="C68" s="23"/>
      <c r="D68" s="23"/>
      <c r="E68" s="23"/>
    </row>
    <row r="69" spans="2:5" x14ac:dyDescent="0.2">
      <c r="B69" s="23"/>
      <c r="C69" s="23"/>
      <c r="D69" s="23"/>
      <c r="E69" s="23"/>
    </row>
  </sheetData>
  <autoFilter ref="A2:F52" xr:uid="{00000000-0009-0000-0000-000002000000}">
    <filterColumn colId="3">
      <filters>
        <filter val="1 Aralia penockii malla circ MP#6"/>
        <filter val="1 Croto punctatum malla circ MP#6"/>
        <filter val="1 Ficus brasil MP#3 dec"/>
        <filter val="1 Palmera areca MP#4 dec"/>
        <filter val="1 Peperomia MP#4"/>
        <filter val="1 potho joy variegado PC#1"/>
        <filter val="1 Potho limon PC#1"/>
        <filter val="10 Croto batick trenza MP#5"/>
        <filter val="10 Croto petra amarillo bolsa 9*12"/>
        <filter val="10 Diaffembaquias MP#4"/>
        <filter val="100 SABILA BP 9X12"/>
        <filter val="11 Alamanda enana MP#11"/>
        <filter val="114 Suculentas Bryophillum MP#4"/>
        <filter val="13 Croto batick bolsa 9*12"/>
        <filter val="13 Junipero MP#4"/>
        <filter val="15 Croto gold dust trenza MP#5"/>
        <filter val="18 Acalipha bolsa 9*12"/>
        <filter val="18 Arreglos combinados MP34"/>
        <filter val="18 Croto punctatum trenza MP#5"/>
        <filter val="25 Arbol de coral bolsa 14*16"/>
        <filter val="3 Diaffembaqui MP#4"/>
        <filter val="3 Santa marta bolsa 9*12"/>
        <filter val="36 JUNIPERUS CHINENSIS"/>
        <filter val="38 Croto petra 3 puntas MP#5"/>
        <filter val="40 Croto punctatum bolsa 9*12"/>
        <filter val="5 CIPRES MINI BP 9X12"/>
        <filter val="50 Croto Iceton bolsa 9*12"/>
        <filter val="57 Peperomia MP#4"/>
        <filter val="59 ARALIA BALFOURIANA BP 14X16"/>
        <filter val="6 Araucarias MP#3 dec"/>
        <filter val="7 schefflera mini trenza MP#5"/>
        <filter val="75 Cedros bolsa 9*12"/>
        <filter val="75 JUNIPERO BP 9X12"/>
        <filter val="9 Croto batick trenza MP#5"/>
        <filter val="9 Diaffembaquias MP#4"/>
        <filter val="Croto batick malla circ MP#6"/>
      </filters>
    </filterColumn>
  </autoFilter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H50"/>
  <sheetViews>
    <sheetView workbookViewId="0">
      <selection activeCell="F60" sqref="F60"/>
    </sheetView>
  </sheetViews>
  <sheetFormatPr defaultColWidth="10.76171875" defaultRowHeight="15" x14ac:dyDescent="0.2"/>
  <cols>
    <col min="1" max="1" width="11.43359375" style="7"/>
    <col min="5" max="5" width="27.84375" bestFit="1" customWidth="1"/>
    <col min="6" max="6" width="39.4140625" bestFit="1" customWidth="1"/>
    <col min="7" max="7" width="11.8359375" bestFit="1" customWidth="1"/>
  </cols>
  <sheetData>
    <row r="1" spans="1:8" x14ac:dyDescent="0.2">
      <c r="A1" s="29" t="s">
        <v>30</v>
      </c>
      <c r="B1" s="24"/>
      <c r="C1" s="24"/>
      <c r="D1" s="24"/>
      <c r="E1" s="24"/>
      <c r="F1" s="24"/>
      <c r="G1" s="24"/>
      <c r="H1" s="24"/>
    </row>
    <row r="2" spans="1:8" ht="27.75" x14ac:dyDescent="0.2">
      <c r="A2" s="10" t="s">
        <v>14</v>
      </c>
      <c r="B2" s="4" t="s">
        <v>2</v>
      </c>
      <c r="C2" s="4" t="s">
        <v>15</v>
      </c>
      <c r="D2" s="1" t="s">
        <v>25</v>
      </c>
      <c r="E2" s="4" t="s">
        <v>17</v>
      </c>
      <c r="F2" s="4" t="s">
        <v>18</v>
      </c>
      <c r="G2" s="4" t="s">
        <v>6</v>
      </c>
      <c r="H2" s="1" t="s">
        <v>13</v>
      </c>
    </row>
    <row r="3" spans="1:8" hidden="1" x14ac:dyDescent="0.2">
      <c r="A3" s="6">
        <f>Bitácora!A5</f>
        <v>45992</v>
      </c>
      <c r="B3" s="3" t="str">
        <f>Bitácora!B5</f>
        <v>liliam-Lidia</v>
      </c>
      <c r="C3" s="3">
        <f>Bitácora!C5</f>
        <v>10</v>
      </c>
      <c r="D3" s="3" t="str">
        <f>Bitácora!M5</f>
        <v>PFMP03200</v>
      </c>
      <c r="E3" s="3">
        <f>Bitácora!N5</f>
        <v>0</v>
      </c>
      <c r="F3" s="3">
        <f>Bitácora!O5</f>
        <v>0</v>
      </c>
      <c r="G3" s="3" t="str">
        <f>Bitácora!Q5</f>
        <v>PFMP03200</v>
      </c>
      <c r="H3" s="3">
        <f>Bitácora!R5</f>
        <v>0</v>
      </c>
    </row>
    <row r="4" spans="1:8" hidden="1" x14ac:dyDescent="0.2">
      <c r="A4" s="6">
        <f>Bitácora!A6</f>
        <v>45992</v>
      </c>
      <c r="B4" s="3" t="str">
        <f>Bitácora!B6</f>
        <v>Liliam-Lidia</v>
      </c>
      <c r="C4" s="3">
        <f>Bitácora!C6</f>
        <v>15</v>
      </c>
      <c r="D4" s="3" t="str">
        <f>Bitácora!M6</f>
        <v>PAMP40017</v>
      </c>
      <c r="E4" s="3">
        <f>Bitácora!N6</f>
        <v>0</v>
      </c>
      <c r="F4" s="3">
        <f>Bitácora!O6</f>
        <v>0</v>
      </c>
      <c r="G4" s="3" t="str">
        <f>Bitácora!Q6</f>
        <v>PAMP40017</v>
      </c>
      <c r="H4" s="3">
        <f>Bitácora!R6</f>
        <v>0</v>
      </c>
    </row>
    <row r="5" spans="1:8" hidden="1" x14ac:dyDescent="0.2">
      <c r="A5" s="6">
        <f>Bitácora!A7</f>
        <v>45992</v>
      </c>
      <c r="B5" s="3" t="str">
        <f>Bitácora!B7</f>
        <v>Julio-Alberto</v>
      </c>
      <c r="C5" s="3">
        <f>Bitácora!C7</f>
        <v>500</v>
      </c>
      <c r="D5" s="3" t="str">
        <f>Bitácora!M7</f>
        <v>PGBP04001</v>
      </c>
      <c r="E5" s="3">
        <f>Bitácora!N7</f>
        <v>0</v>
      </c>
      <c r="F5" s="3">
        <f>Bitácora!O7</f>
        <v>0</v>
      </c>
      <c r="G5" s="3" t="str">
        <f>Bitácora!Q7</f>
        <v>PGBP04001</v>
      </c>
      <c r="H5" s="3">
        <f>Bitácora!R7</f>
        <v>0</v>
      </c>
    </row>
    <row r="6" spans="1:8" hidden="1" x14ac:dyDescent="0.2">
      <c r="A6" s="6">
        <f>Bitácora!A8</f>
        <v>45994</v>
      </c>
      <c r="B6" s="3" t="str">
        <f>Bitácora!B8</f>
        <v>Liliam-Lidia-Alberto</v>
      </c>
      <c r="C6" s="3">
        <f>Bitácora!C8</f>
        <v>20</v>
      </c>
      <c r="D6" s="3" t="str">
        <f>Bitácora!M8</f>
        <v>PQCA01001</v>
      </c>
      <c r="E6" s="3">
        <f>Bitácora!N8</f>
        <v>0</v>
      </c>
      <c r="F6" s="3">
        <f>Bitácora!O8</f>
        <v>0</v>
      </c>
      <c r="G6" s="3" t="str">
        <f>Bitácora!Q8</f>
        <v>PQCA01001</v>
      </c>
      <c r="H6" s="3">
        <f>Bitácora!R8</f>
        <v>0</v>
      </c>
    </row>
    <row r="7" spans="1:8" hidden="1" x14ac:dyDescent="0.2">
      <c r="A7" s="6">
        <f>Bitácora!A9</f>
        <v>45994</v>
      </c>
      <c r="B7" s="3" t="str">
        <f>Bitácora!B9</f>
        <v>Liliam-Lidia-Alberto</v>
      </c>
      <c r="C7" s="3">
        <f>Bitácora!C9</f>
        <v>15</v>
      </c>
      <c r="D7" s="3" t="str">
        <f>Bitácora!M9</f>
        <v>PAMP03017</v>
      </c>
      <c r="E7" s="3">
        <f>Bitácora!N9</f>
        <v>0</v>
      </c>
      <c r="F7" s="3">
        <f>Bitácora!O9</f>
        <v>0</v>
      </c>
      <c r="G7" s="3" t="str">
        <f>Bitácora!Q9</f>
        <v>PAMP03017</v>
      </c>
      <c r="H7" s="3">
        <f>Bitácora!R9</f>
        <v>0</v>
      </c>
    </row>
    <row r="8" spans="1:8" hidden="1" x14ac:dyDescent="0.2">
      <c r="A8" s="6">
        <f>Bitácora!A10</f>
        <v>45994</v>
      </c>
      <c r="B8" s="3" t="str">
        <f>Bitácora!B10</f>
        <v>Liliam-Lidia-Alberto</v>
      </c>
      <c r="C8" s="3">
        <f>Bitácora!C10</f>
        <v>30</v>
      </c>
      <c r="D8" s="3" t="str">
        <f>Bitácora!M10</f>
        <v>PAMP40017</v>
      </c>
      <c r="E8" s="3">
        <f>Bitácora!N10</f>
        <v>0</v>
      </c>
      <c r="F8" s="3">
        <f>Bitácora!O10</f>
        <v>0</v>
      </c>
      <c r="G8" s="3" t="str">
        <f>Bitácora!Q10</f>
        <v>PAMP40017</v>
      </c>
      <c r="H8" s="3">
        <f>Bitácora!R10</f>
        <v>0</v>
      </c>
    </row>
    <row r="9" spans="1:8" x14ac:dyDescent="0.2">
      <c r="A9" s="6">
        <f>Bitácora!A11</f>
        <v>45995</v>
      </c>
      <c r="B9" s="3" t="str">
        <f>Bitácora!B11</f>
        <v>Liliam-Lidia</v>
      </c>
      <c r="C9" s="3">
        <f>Bitácora!C11</f>
        <v>31</v>
      </c>
      <c r="D9" s="3" t="str">
        <f>Bitácora!M11</f>
        <v>PPBP07006</v>
      </c>
      <c r="E9" s="3" t="str">
        <f>Bitácora!N11</f>
        <v>31 Palmera pheonix bolsa 14*16</v>
      </c>
      <c r="F9" s="3" t="str">
        <f>Bitácora!O11</f>
        <v>31 Palmera pheonix bolsa 14*16</v>
      </c>
      <c r="G9" s="3" t="str">
        <f>Bitácora!Q11</f>
        <v>PPBP07006</v>
      </c>
      <c r="H9" s="3">
        <f>Bitácora!R11</f>
        <v>0</v>
      </c>
    </row>
    <row r="10" spans="1:8" x14ac:dyDescent="0.2">
      <c r="A10" s="6">
        <f>Bitácora!A12</f>
        <v>45995</v>
      </c>
      <c r="B10" s="3" t="str">
        <f>Bitácora!B12</f>
        <v>Liliam-Lidia</v>
      </c>
      <c r="C10" s="3">
        <f>Bitácora!C12</f>
        <v>1</v>
      </c>
      <c r="D10" s="3" t="str">
        <f>Bitácora!M12</f>
        <v>PAMP04128</v>
      </c>
      <c r="E10" s="3" t="str">
        <f>Bitácora!N12</f>
        <v>1 Aralia feliscifolia MP#4 dec</v>
      </c>
      <c r="F10" s="3" t="str">
        <f>Bitácora!O12</f>
        <v>1 Aralia feliscifolia MP#4 dec</v>
      </c>
      <c r="G10" s="3" t="str">
        <f>Bitácora!Q12</f>
        <v>PAMP04128</v>
      </c>
      <c r="H10" s="3">
        <f>Bitácora!R12</f>
        <v>0</v>
      </c>
    </row>
    <row r="11" spans="1:8" hidden="1" x14ac:dyDescent="0.2">
      <c r="A11" s="6">
        <f>Bitácora!A13</f>
        <v>45995</v>
      </c>
      <c r="B11" s="3" t="str">
        <f>Bitácora!B13</f>
        <v>Fermin-Julio</v>
      </c>
      <c r="C11" s="3">
        <f>Bitácora!C13</f>
        <v>1</v>
      </c>
      <c r="D11" s="3" t="str">
        <f>Bitácora!M13</f>
        <v>PCMP06040</v>
      </c>
      <c r="E11" s="3">
        <f>Bitácora!N13</f>
        <v>0</v>
      </c>
      <c r="F11" s="3">
        <f>Bitácora!O13</f>
        <v>0</v>
      </c>
      <c r="G11" s="3" t="str">
        <f>Bitácora!Q13</f>
        <v>PCMP06040</v>
      </c>
      <c r="H11" s="3">
        <f>Bitácora!R13</f>
        <v>6000274</v>
      </c>
    </row>
    <row r="12" spans="1:8" hidden="1" x14ac:dyDescent="0.2">
      <c r="A12" s="6">
        <f>Bitácora!A14</f>
        <v>45995</v>
      </c>
      <c r="B12" s="3" t="str">
        <f>Bitácora!B14</f>
        <v>Fermin-Julio</v>
      </c>
      <c r="C12" s="3">
        <f>Bitácora!C14</f>
        <v>7</v>
      </c>
      <c r="D12" s="3" t="str">
        <f>Bitácora!M14</f>
        <v>PSMP05013</v>
      </c>
      <c r="E12" s="3">
        <f>Bitácora!N14</f>
        <v>0</v>
      </c>
      <c r="F12" s="3">
        <f>Bitácora!O14</f>
        <v>0</v>
      </c>
      <c r="G12" s="3" t="str">
        <f>Bitácora!Q14</f>
        <v>PSMP05013</v>
      </c>
      <c r="H12" s="3">
        <f>Bitácora!R14</f>
        <v>6000274</v>
      </c>
    </row>
    <row r="13" spans="1:8" hidden="1" x14ac:dyDescent="0.2">
      <c r="A13" s="6">
        <f>Bitácora!A15</f>
        <v>45995</v>
      </c>
      <c r="B13" s="3" t="str">
        <f>Bitácora!B15</f>
        <v>Fermin-Julio</v>
      </c>
      <c r="C13" s="3">
        <f>Bitácora!C15</f>
        <v>1</v>
      </c>
      <c r="D13" s="3" t="str">
        <f>Bitácora!M15</f>
        <v>PFMP03120</v>
      </c>
      <c r="E13" s="3">
        <f>Bitácora!N15</f>
        <v>0</v>
      </c>
      <c r="F13" s="3">
        <f>Bitácora!O15</f>
        <v>0</v>
      </c>
      <c r="G13" s="3" t="str">
        <f>Bitácora!Q15</f>
        <v>PFMP03120</v>
      </c>
      <c r="H13" s="3">
        <f>Bitácora!R15</f>
        <v>6000274</v>
      </c>
    </row>
    <row r="14" spans="1:8" hidden="1" x14ac:dyDescent="0.2">
      <c r="A14" s="6">
        <f>Bitácora!A16</f>
        <v>45995</v>
      </c>
      <c r="B14" s="3" t="str">
        <f>Bitácora!B16</f>
        <v>Fermin-Julio</v>
      </c>
      <c r="C14" s="3">
        <f>Bitácora!C16</f>
        <v>10</v>
      </c>
      <c r="D14" s="3" t="str">
        <f>Bitácora!M16</f>
        <v>PCBP04038</v>
      </c>
      <c r="E14" s="3">
        <f>Bitácora!N16</f>
        <v>0</v>
      </c>
      <c r="F14" s="3">
        <f>Bitácora!O16</f>
        <v>0</v>
      </c>
      <c r="G14" s="3" t="str">
        <f>Bitácora!Q16</f>
        <v>PCBP04038</v>
      </c>
      <c r="H14" s="3">
        <f>Bitácora!R16</f>
        <v>6000274</v>
      </c>
    </row>
    <row r="15" spans="1:8" hidden="1" x14ac:dyDescent="0.2">
      <c r="A15" s="6">
        <f>Bitácora!A17</f>
        <v>45995</v>
      </c>
      <c r="B15" s="3" t="str">
        <f>Bitácora!B17</f>
        <v>Fermin-Julio</v>
      </c>
      <c r="C15" s="3">
        <f>Bitácora!C17</f>
        <v>1</v>
      </c>
      <c r="D15" s="3" t="str">
        <f>Bitácora!M17</f>
        <v>PPMP04017</v>
      </c>
      <c r="E15" s="3">
        <f>Bitácora!N17</f>
        <v>0</v>
      </c>
      <c r="F15" s="3">
        <f>Bitácora!O17</f>
        <v>0</v>
      </c>
      <c r="G15" s="3" t="str">
        <f>Bitácora!Q17</f>
        <v>PPMP04017</v>
      </c>
      <c r="H15" s="3">
        <f>Bitácora!R17</f>
        <v>6000274</v>
      </c>
    </row>
    <row r="16" spans="1:8" hidden="1" x14ac:dyDescent="0.2">
      <c r="A16" s="6">
        <f>Bitácora!A18</f>
        <v>45995</v>
      </c>
      <c r="B16" s="3" t="str">
        <f>Bitácora!B18</f>
        <v>Fermin-Julio</v>
      </c>
      <c r="C16" s="3">
        <f>Bitácora!C18</f>
        <v>1</v>
      </c>
      <c r="D16" s="3" t="str">
        <f>Bitácora!M18</f>
        <v>PPCA01037</v>
      </c>
      <c r="E16" s="3">
        <f>Bitácora!N18</f>
        <v>0</v>
      </c>
      <c r="F16" s="3">
        <f>Bitácora!O18</f>
        <v>0</v>
      </c>
      <c r="G16" s="3" t="str">
        <f>Bitácora!Q18</f>
        <v>PPCA01037</v>
      </c>
      <c r="H16" s="3">
        <f>Bitácora!R18</f>
        <v>6000274</v>
      </c>
    </row>
    <row r="17" spans="1:8" hidden="1" x14ac:dyDescent="0.2">
      <c r="A17" s="6">
        <f>Bitácora!A19</f>
        <v>45995</v>
      </c>
      <c r="B17" s="3" t="str">
        <f>Bitácora!B19</f>
        <v>Fermin-Julio</v>
      </c>
      <c r="C17" s="3">
        <f>Bitácora!C19</f>
        <v>10</v>
      </c>
      <c r="D17" s="3" t="str">
        <f>Bitácora!M19</f>
        <v>PCMP05035</v>
      </c>
      <c r="E17" s="3">
        <f>Bitácora!N19</f>
        <v>0</v>
      </c>
      <c r="F17" s="3">
        <f>Bitácora!O19</f>
        <v>0</v>
      </c>
      <c r="G17" s="3" t="str">
        <f>Bitácora!Q19</f>
        <v>PCMP05035</v>
      </c>
      <c r="H17" s="3">
        <f>Bitácora!R19</f>
        <v>6000274</v>
      </c>
    </row>
    <row r="18" spans="1:8" hidden="1" x14ac:dyDescent="0.2">
      <c r="A18" s="6">
        <f>Bitácora!A20</f>
        <v>45995</v>
      </c>
      <c r="B18" s="3" t="str">
        <f>Bitácora!B20</f>
        <v>Fermin-Julio</v>
      </c>
      <c r="C18" s="3">
        <f>Bitácora!C20</f>
        <v>13</v>
      </c>
      <c r="D18" s="3" t="str">
        <f>Bitácora!M20</f>
        <v>PCBP04035</v>
      </c>
      <c r="E18" s="3">
        <f>Bitácora!N20</f>
        <v>0</v>
      </c>
      <c r="F18" s="3">
        <f>Bitácora!O20</f>
        <v>0</v>
      </c>
      <c r="G18" s="3" t="str">
        <f>Bitácora!Q20</f>
        <v>PCBP04035</v>
      </c>
      <c r="H18" s="3">
        <f>Bitácora!R20</f>
        <v>6000274</v>
      </c>
    </row>
    <row r="19" spans="1:8" hidden="1" x14ac:dyDescent="0.2">
      <c r="A19" s="6">
        <f>Bitácora!A21</f>
        <v>45995</v>
      </c>
      <c r="B19" s="3" t="str">
        <f>Bitácora!B21</f>
        <v>Fermin-Julio</v>
      </c>
      <c r="C19" s="3">
        <f>Bitácora!C21</f>
        <v>3</v>
      </c>
      <c r="D19" s="3" t="str">
        <f>Bitácora!M21</f>
        <v>PDMP04103</v>
      </c>
      <c r="E19" s="3">
        <f>Bitácora!N21</f>
        <v>0</v>
      </c>
      <c r="F19" s="3">
        <f>Bitácora!O21</f>
        <v>0</v>
      </c>
      <c r="G19" s="3" t="str">
        <f>Bitácora!Q21</f>
        <v>PDMP04103</v>
      </c>
      <c r="H19" s="3">
        <f>Bitácora!R21</f>
        <v>6000274</v>
      </c>
    </row>
    <row r="20" spans="1:8" hidden="1" x14ac:dyDescent="0.2">
      <c r="A20" s="6">
        <f>Bitácora!A22</f>
        <v>45995</v>
      </c>
      <c r="B20" s="3" t="str">
        <f>Bitácora!B22</f>
        <v>Fermin-Julio</v>
      </c>
      <c r="C20" s="3">
        <f>Bitácora!C22</f>
        <v>1</v>
      </c>
      <c r="D20" s="3" t="str">
        <f>Bitácora!M22</f>
        <v>PDMP04002</v>
      </c>
      <c r="E20" s="3">
        <f>Bitácora!N22</f>
        <v>0</v>
      </c>
      <c r="F20" s="3">
        <f>Bitácora!O22</f>
        <v>0</v>
      </c>
      <c r="G20" s="3" t="str">
        <f>Bitácora!Q22</f>
        <v>PDMP04002</v>
      </c>
      <c r="H20" s="3">
        <f>Bitácora!R22</f>
        <v>6000274</v>
      </c>
    </row>
    <row r="21" spans="1:8" hidden="1" x14ac:dyDescent="0.2">
      <c r="A21" s="6">
        <f>Bitácora!A23</f>
        <v>45995</v>
      </c>
      <c r="B21" s="3" t="str">
        <f>Bitácora!B23</f>
        <v>Fermin-Julio</v>
      </c>
      <c r="C21" s="3">
        <f>Bitácora!C23</f>
        <v>1</v>
      </c>
      <c r="D21" s="3" t="str">
        <f>Bitácora!M23</f>
        <v>PPCA01039</v>
      </c>
      <c r="E21" s="3">
        <f>Bitácora!N23</f>
        <v>0</v>
      </c>
      <c r="F21" s="3">
        <f>Bitácora!O23</f>
        <v>0</v>
      </c>
      <c r="G21" s="3" t="str">
        <f>Bitácora!Q23</f>
        <v>PPCA01039</v>
      </c>
      <c r="H21" s="3">
        <f>Bitácora!R23</f>
        <v>6000274</v>
      </c>
    </row>
    <row r="22" spans="1:8" hidden="1" x14ac:dyDescent="0.2">
      <c r="A22" s="6">
        <f>Bitácora!A24</f>
        <v>45995</v>
      </c>
      <c r="B22" s="3" t="str">
        <f>Bitácora!B24</f>
        <v>Fermin-Julio</v>
      </c>
      <c r="C22" s="3">
        <f>Bitácora!C24</f>
        <v>1</v>
      </c>
      <c r="D22" s="3" t="str">
        <f>Bitácora!M24</f>
        <v>PAMP06017</v>
      </c>
      <c r="E22" s="3">
        <f>Bitácora!N24</f>
        <v>0</v>
      </c>
      <c r="F22" s="3">
        <f>Bitácora!O24</f>
        <v>0</v>
      </c>
      <c r="G22" s="3" t="str">
        <f>Bitácora!Q24</f>
        <v>PAMP06017</v>
      </c>
      <c r="H22" s="3">
        <f>Bitácora!R24</f>
        <v>6000274</v>
      </c>
    </row>
    <row r="23" spans="1:8" hidden="1" x14ac:dyDescent="0.2">
      <c r="A23" s="6">
        <f>Bitácora!A25</f>
        <v>45995</v>
      </c>
      <c r="B23" s="3" t="str">
        <f>Bitácora!B25</f>
        <v>Fermin-Julio</v>
      </c>
      <c r="C23" s="3">
        <f>Bitácora!C25</f>
        <v>18</v>
      </c>
      <c r="D23" s="3" t="str">
        <f>Bitácora!M25</f>
        <v>PAMP04021</v>
      </c>
      <c r="E23" s="3">
        <f>Bitácora!N25</f>
        <v>0</v>
      </c>
      <c r="F23" s="3">
        <f>Bitácora!O25</f>
        <v>0</v>
      </c>
      <c r="G23" s="3" t="str">
        <f>Bitácora!Q25</f>
        <v>PAMP04021</v>
      </c>
      <c r="H23" s="3">
        <f>Bitácora!R25</f>
        <v>6000274</v>
      </c>
    </row>
    <row r="24" spans="1:8" hidden="1" x14ac:dyDescent="0.2">
      <c r="A24" s="6">
        <f>Bitácora!A26</f>
        <v>45995</v>
      </c>
      <c r="B24" s="3" t="str">
        <f>Bitácora!B26</f>
        <v>liliam-Lidia</v>
      </c>
      <c r="C24" s="3">
        <f>Bitácora!C26</f>
        <v>9</v>
      </c>
      <c r="D24" s="3" t="str">
        <f>Bitácora!M26</f>
        <v>PDMP04103</v>
      </c>
      <c r="E24" s="3">
        <f>Bitácora!N26</f>
        <v>0</v>
      </c>
      <c r="F24" s="3">
        <f>Bitácora!O26</f>
        <v>0</v>
      </c>
      <c r="G24" s="3" t="str">
        <f>Bitácora!Q26</f>
        <v>PDMP04103</v>
      </c>
      <c r="H24" s="3">
        <f>Bitácora!R26</f>
        <v>0</v>
      </c>
    </row>
    <row r="25" spans="1:8" hidden="1" x14ac:dyDescent="0.2">
      <c r="A25" s="6">
        <f>Bitácora!A27</f>
        <v>45995</v>
      </c>
      <c r="B25" s="3" t="str">
        <f>Bitácora!B27</f>
        <v>liliam-Lidia</v>
      </c>
      <c r="C25" s="3">
        <f>Bitácora!C27</f>
        <v>57</v>
      </c>
      <c r="D25" s="3" t="str">
        <f>Bitácora!M27</f>
        <v>PPMP04017</v>
      </c>
      <c r="E25" s="3">
        <f>Bitácora!N27</f>
        <v>0</v>
      </c>
      <c r="F25" s="3">
        <f>Bitácora!O27</f>
        <v>0</v>
      </c>
      <c r="G25" s="3" t="str">
        <f>Bitácora!Q27</f>
        <v>PPMP04017</v>
      </c>
      <c r="H25" s="3">
        <f>Bitácora!R27</f>
        <v>0</v>
      </c>
    </row>
    <row r="26" spans="1:8" hidden="1" x14ac:dyDescent="0.2">
      <c r="A26" s="6">
        <f>Bitácora!A28</f>
        <v>45995</v>
      </c>
      <c r="B26" s="3" t="str">
        <f>Bitácora!B28</f>
        <v>liliam-Lidia</v>
      </c>
      <c r="C26" s="3">
        <f>Bitácora!C28</f>
        <v>13</v>
      </c>
      <c r="D26" s="3" t="str">
        <f>Bitácora!M28</f>
        <v>PJMP04006</v>
      </c>
      <c r="E26" s="3">
        <f>Bitácora!N28</f>
        <v>0</v>
      </c>
      <c r="F26" s="3">
        <f>Bitácora!O28</f>
        <v>0</v>
      </c>
      <c r="G26" s="3" t="str">
        <f>Bitácora!Q28</f>
        <v>PJMP04006</v>
      </c>
      <c r="H26" s="3">
        <f>Bitácora!R28</f>
        <v>0</v>
      </c>
    </row>
    <row r="27" spans="1:8" hidden="1" x14ac:dyDescent="0.2">
      <c r="A27" s="6">
        <f>Bitácora!A29</f>
        <v>45995</v>
      </c>
      <c r="B27" s="3" t="str">
        <f>Bitácora!B29</f>
        <v>liliam-Lidia</v>
      </c>
      <c r="C27" s="3">
        <f>Bitácora!C29</f>
        <v>9</v>
      </c>
      <c r="D27" s="3" t="str">
        <f>Bitácora!M29</f>
        <v>PCMP05035</v>
      </c>
      <c r="E27" s="3">
        <f>Bitácora!N29</f>
        <v>0</v>
      </c>
      <c r="F27" s="3">
        <f>Bitácora!O29</f>
        <v>0</v>
      </c>
      <c r="G27" s="3" t="str">
        <f>Bitácora!Q29</f>
        <v>PCMP05035</v>
      </c>
      <c r="H27" s="3">
        <f>Bitácora!R29</f>
        <v>0</v>
      </c>
    </row>
    <row r="28" spans="1:8" hidden="1" x14ac:dyDescent="0.2">
      <c r="A28" s="6">
        <f>Bitácora!A30</f>
        <v>45995</v>
      </c>
      <c r="B28" s="3" t="str">
        <f>Bitácora!B30</f>
        <v>liliam-Lidia</v>
      </c>
      <c r="C28" s="3">
        <f>Bitácora!C30</f>
        <v>15</v>
      </c>
      <c r="D28" s="3" t="str">
        <f>Bitácora!M30</f>
        <v>PCMP05036</v>
      </c>
      <c r="E28" s="3">
        <f>Bitácora!N30</f>
        <v>0</v>
      </c>
      <c r="F28" s="3">
        <f>Bitácora!O30</f>
        <v>0</v>
      </c>
      <c r="G28" s="3" t="str">
        <f>Bitácora!Q30</f>
        <v>PCMP05036</v>
      </c>
      <c r="H28" s="3">
        <f>Bitácora!R30</f>
        <v>0</v>
      </c>
    </row>
    <row r="29" spans="1:8" hidden="1" x14ac:dyDescent="0.2">
      <c r="A29" s="6">
        <f>Bitácora!A31</f>
        <v>45995</v>
      </c>
      <c r="B29" s="3" t="str">
        <f>Bitácora!B31</f>
        <v>liliam-Lidia</v>
      </c>
      <c r="C29" s="3">
        <f>Bitácora!C31</f>
        <v>38</v>
      </c>
      <c r="D29" s="3" t="str">
        <f>Bitácora!M31</f>
        <v>PCMP05039</v>
      </c>
      <c r="E29" s="3">
        <f>Bitácora!N31</f>
        <v>0</v>
      </c>
      <c r="F29" s="3">
        <f>Bitácora!O31</f>
        <v>0</v>
      </c>
      <c r="G29" s="3" t="str">
        <f>Bitácora!Q31</f>
        <v>PCMP05039</v>
      </c>
      <c r="H29" s="3">
        <f>Bitácora!R31</f>
        <v>0</v>
      </c>
    </row>
    <row r="30" spans="1:8" hidden="1" x14ac:dyDescent="0.2">
      <c r="A30" s="6">
        <f>Bitácora!A32</f>
        <v>45995</v>
      </c>
      <c r="B30" s="3" t="str">
        <f>Bitácora!B32</f>
        <v>liliam-Lidia</v>
      </c>
      <c r="C30" s="3">
        <f>Bitácora!C32</f>
        <v>18</v>
      </c>
      <c r="D30" s="3" t="str">
        <f>Bitácora!M32</f>
        <v>PCMP05040</v>
      </c>
      <c r="E30" s="3">
        <f>Bitácora!N32</f>
        <v>0</v>
      </c>
      <c r="F30" s="3">
        <f>Bitácora!O32</f>
        <v>0</v>
      </c>
      <c r="G30" s="3" t="str">
        <f>Bitácora!Q32</f>
        <v>PCMP05040</v>
      </c>
      <c r="H30" s="3">
        <f>Bitácora!R32</f>
        <v>0</v>
      </c>
    </row>
    <row r="31" spans="1:8" hidden="1" x14ac:dyDescent="0.2">
      <c r="A31" s="6">
        <f>Bitácora!A33</f>
        <v>45995</v>
      </c>
      <c r="B31" s="3" t="str">
        <f>Bitácora!B33</f>
        <v>liliam-Lidia</v>
      </c>
      <c r="C31" s="3">
        <f>Bitácora!C33</f>
        <v>10</v>
      </c>
      <c r="D31" s="3" t="str">
        <f>Bitácora!M33</f>
        <v>PDMP04103</v>
      </c>
      <c r="E31" s="3">
        <f>Bitácora!N33</f>
        <v>0</v>
      </c>
      <c r="F31" s="3">
        <f>Bitácora!O33</f>
        <v>0</v>
      </c>
      <c r="G31" s="3" t="str">
        <f>Bitácora!Q33</f>
        <v>PDMP04103</v>
      </c>
      <c r="H31" s="3">
        <f>Bitácora!R33</f>
        <v>0</v>
      </c>
    </row>
    <row r="32" spans="1:8" hidden="1" x14ac:dyDescent="0.2">
      <c r="A32" s="6">
        <f>Bitácora!A34</f>
        <v>45995</v>
      </c>
      <c r="B32" s="3" t="str">
        <f>Bitácora!B34</f>
        <v>liliam-Lidia</v>
      </c>
      <c r="C32" s="3">
        <f>Bitácora!C34</f>
        <v>11</v>
      </c>
      <c r="D32" s="3" t="str">
        <f>Bitácora!M34</f>
        <v>PAMP11038</v>
      </c>
      <c r="E32" s="3">
        <f>Bitácora!N34</f>
        <v>0</v>
      </c>
      <c r="F32" s="3">
        <f>Bitácora!O34</f>
        <v>0</v>
      </c>
      <c r="G32" s="3" t="str">
        <f>Bitácora!Q34</f>
        <v>PAMP11038</v>
      </c>
      <c r="H32" s="3">
        <f>Bitácora!R34</f>
        <v>0</v>
      </c>
    </row>
    <row r="33" spans="1:8" hidden="1" x14ac:dyDescent="0.2">
      <c r="A33" s="6">
        <f>Bitácora!A35</f>
        <v>45995</v>
      </c>
      <c r="B33" s="3" t="str">
        <f>Bitácora!B35</f>
        <v>liliam-Lidia</v>
      </c>
      <c r="C33" s="3">
        <f>Bitácora!C35</f>
        <v>3</v>
      </c>
      <c r="D33" s="3" t="str">
        <f>Bitácora!M35</f>
        <v>PSBP04003</v>
      </c>
      <c r="E33" s="3">
        <f>Bitácora!N35</f>
        <v>0</v>
      </c>
      <c r="F33" s="3">
        <f>Bitácora!O35</f>
        <v>0</v>
      </c>
      <c r="G33" s="3" t="str">
        <f>Bitácora!Q35</f>
        <v>PSBP04003</v>
      </c>
      <c r="H33" s="3">
        <f>Bitácora!R35</f>
        <v>0</v>
      </c>
    </row>
    <row r="34" spans="1:8" hidden="1" x14ac:dyDescent="0.2">
      <c r="A34" s="6">
        <f>Bitácora!A36</f>
        <v>45995</v>
      </c>
      <c r="B34" s="3" t="str">
        <f>Bitácora!B36</f>
        <v>liliam-Lidia</v>
      </c>
      <c r="C34" s="3">
        <f>Bitácora!C36</f>
        <v>30</v>
      </c>
      <c r="D34" s="3" t="str">
        <f>Bitácora!M36</f>
        <v>PCBP04040</v>
      </c>
      <c r="E34" s="3">
        <f>Bitácora!N36</f>
        <v>0</v>
      </c>
      <c r="F34" s="3">
        <f>Bitácora!O36</f>
        <v>0</v>
      </c>
      <c r="G34" s="3" t="str">
        <f>Bitácora!Q36</f>
        <v>PCBP04040</v>
      </c>
      <c r="H34" s="3">
        <f>Bitácora!R36</f>
        <v>0</v>
      </c>
    </row>
    <row r="35" spans="1:8" hidden="1" x14ac:dyDescent="0.2">
      <c r="A35" s="6">
        <f>Bitácora!A37</f>
        <v>45995</v>
      </c>
      <c r="B35" s="3" t="str">
        <f>Bitácora!B37</f>
        <v>liliam-Lidia</v>
      </c>
      <c r="C35" s="3">
        <f>Bitácora!C37</f>
        <v>40</v>
      </c>
      <c r="D35" s="3" t="str">
        <f>Bitácora!M37</f>
        <v>PCBP04037</v>
      </c>
      <c r="E35" s="3">
        <f>Bitácora!N37</f>
        <v>0</v>
      </c>
      <c r="F35" s="3">
        <f>Bitácora!O37</f>
        <v>0</v>
      </c>
      <c r="G35" s="3" t="str">
        <f>Bitácora!Q37</f>
        <v>PCBP04037</v>
      </c>
      <c r="H35" s="3">
        <f>Bitácora!R37</f>
        <v>0</v>
      </c>
    </row>
    <row r="36" spans="1:8" hidden="1" x14ac:dyDescent="0.2">
      <c r="A36" s="6">
        <f>Bitácora!A38</f>
        <v>45995</v>
      </c>
      <c r="B36" s="3" t="str">
        <f>Bitácora!B38</f>
        <v>liliam-Lidia</v>
      </c>
      <c r="C36" s="3">
        <f>Bitácora!C38</f>
        <v>114</v>
      </c>
      <c r="D36" s="3" t="str">
        <f>Bitácora!M38</f>
        <v>PBMP04011</v>
      </c>
      <c r="E36" s="3">
        <f>Bitácora!N38</f>
        <v>0</v>
      </c>
      <c r="F36" s="3">
        <f>Bitácora!O38</f>
        <v>0</v>
      </c>
      <c r="G36" s="3" t="str">
        <f>Bitácora!Q38</f>
        <v>PBMP04011</v>
      </c>
      <c r="H36" s="3">
        <f>Bitácora!R38</f>
        <v>0</v>
      </c>
    </row>
    <row r="37" spans="1:8" hidden="1" x14ac:dyDescent="0.2">
      <c r="A37" s="6">
        <f>Bitácora!A39</f>
        <v>45995</v>
      </c>
      <c r="B37" s="3" t="str">
        <f>Bitácora!B39</f>
        <v>liliam-Lidia</v>
      </c>
      <c r="C37" s="3">
        <f>Bitácora!C39</f>
        <v>18</v>
      </c>
      <c r="D37" s="3" t="str">
        <f>Bitácora!M39</f>
        <v>PABP04040</v>
      </c>
      <c r="E37" s="3">
        <f>Bitácora!N39</f>
        <v>0</v>
      </c>
      <c r="F37" s="3">
        <f>Bitácora!O39</f>
        <v>0</v>
      </c>
      <c r="G37" s="3" t="str">
        <f>Bitácora!Q39</f>
        <v>PABP04040</v>
      </c>
      <c r="H37" s="3">
        <f>Bitácora!R39</f>
        <v>0</v>
      </c>
    </row>
    <row r="38" spans="1:8" hidden="1" x14ac:dyDescent="0.2">
      <c r="A38" s="6">
        <f>Bitácora!A40</f>
        <v>45995</v>
      </c>
      <c r="B38" s="3" t="str">
        <f>Bitácora!B40</f>
        <v>liliam-Lidia</v>
      </c>
      <c r="C38" s="3">
        <f>Bitácora!C40</f>
        <v>10</v>
      </c>
      <c r="D38" s="3" t="str">
        <f>Bitácora!M40</f>
        <v>PCMP06065</v>
      </c>
      <c r="E38" s="3">
        <f>Bitácora!N40</f>
        <v>0</v>
      </c>
      <c r="F38" s="3">
        <f>Bitácora!O40</f>
        <v>0</v>
      </c>
      <c r="G38" s="3" t="str">
        <f>Bitácora!Q40</f>
        <v>PCMP06065</v>
      </c>
      <c r="H38" s="3">
        <f>Bitácora!R40</f>
        <v>0</v>
      </c>
    </row>
    <row r="39" spans="1:8" hidden="1" x14ac:dyDescent="0.2">
      <c r="A39" s="6">
        <f>Bitácora!A41</f>
        <v>45995</v>
      </c>
      <c r="B39" s="3" t="str">
        <f>Bitácora!B41</f>
        <v>liliam-Lidia</v>
      </c>
      <c r="C39" s="3">
        <f>Bitácora!C41</f>
        <v>25</v>
      </c>
      <c r="D39" s="3" t="str">
        <f>Bitácora!M41</f>
        <v>PCBP07100</v>
      </c>
      <c r="E39" s="3">
        <f>Bitácora!N41</f>
        <v>0</v>
      </c>
      <c r="F39" s="3">
        <f>Bitácora!O41</f>
        <v>0</v>
      </c>
      <c r="G39" s="3" t="str">
        <f>Bitácora!Q41</f>
        <v>PCBP07100</v>
      </c>
      <c r="H39" s="3">
        <f>Bitácora!R41</f>
        <v>0</v>
      </c>
    </row>
    <row r="40" spans="1:8" x14ac:dyDescent="0.2">
      <c r="A40" s="6">
        <f>Bitácora!A42</f>
        <v>46000</v>
      </c>
      <c r="B40" s="3">
        <f>Bitácora!B42</f>
        <v>0</v>
      </c>
      <c r="C40" s="3">
        <f>Bitácora!C42</f>
        <v>20</v>
      </c>
      <c r="D40" s="3">
        <f>Bitácora!M42</f>
        <v>0</v>
      </c>
      <c r="E40" s="3" t="str">
        <f>Bitácora!N42</f>
        <v xml:space="preserve">20 Araucarias MP#11 </v>
      </c>
      <c r="F40" s="3" t="str">
        <f>Bitácora!O42</f>
        <v>20 Araucarias MP#3 dec</v>
      </c>
      <c r="G40" s="3" t="str">
        <f>Bitácora!Q42</f>
        <v>PAMP03119</v>
      </c>
      <c r="H40" s="3">
        <f>Bitácora!R42</f>
        <v>0</v>
      </c>
    </row>
    <row r="41" spans="1:8" hidden="1" x14ac:dyDescent="0.2">
      <c r="A41" s="6">
        <f>Bitácora!A43</f>
        <v>46001</v>
      </c>
      <c r="B41" s="3" t="str">
        <f>Bitácora!B43</f>
        <v>Liliam-Idalia</v>
      </c>
      <c r="C41" s="3">
        <f>Bitácora!C43</f>
        <v>5</v>
      </c>
      <c r="D41" s="3" t="str">
        <f>Bitácora!M43</f>
        <v>PCBP04104</v>
      </c>
      <c r="E41" s="3">
        <f>Bitácora!N43</f>
        <v>0</v>
      </c>
      <c r="F41" s="3">
        <f>Bitácora!O43</f>
        <v>0</v>
      </c>
      <c r="G41" s="3" t="str">
        <f>Bitácora!Q43</f>
        <v>PCBP04104</v>
      </c>
      <c r="H41" s="3">
        <f>Bitácora!R43</f>
        <v>0</v>
      </c>
    </row>
    <row r="42" spans="1:8" hidden="1" x14ac:dyDescent="0.2">
      <c r="A42" s="6">
        <f>Bitácora!A44</f>
        <v>46001</v>
      </c>
      <c r="B42" s="3" t="str">
        <f>Bitácora!B44</f>
        <v>Liliam-Idalia</v>
      </c>
      <c r="C42" s="3">
        <f>Bitácora!C44</f>
        <v>36</v>
      </c>
      <c r="D42" s="3" t="str">
        <f>Bitácora!M44</f>
        <v>PCBP04102</v>
      </c>
      <c r="E42" s="3">
        <f>Bitácora!N44</f>
        <v>0</v>
      </c>
      <c r="F42" s="3">
        <f>Bitácora!O44</f>
        <v>0</v>
      </c>
      <c r="G42" s="3" t="str">
        <f>Bitácora!Q44</f>
        <v>PCBP04102</v>
      </c>
      <c r="H42" s="3">
        <f>Bitácora!R44</f>
        <v>0</v>
      </c>
    </row>
    <row r="43" spans="1:8" hidden="1" x14ac:dyDescent="0.2">
      <c r="A43" s="6">
        <f>Bitácora!A45</f>
        <v>46001</v>
      </c>
      <c r="B43" s="3" t="str">
        <f>Bitácora!B45</f>
        <v>Liliam-Idalia</v>
      </c>
      <c r="C43" s="3">
        <f>Bitácora!C45</f>
        <v>59</v>
      </c>
      <c r="D43" s="3" t="str">
        <f>Bitácora!M45</f>
        <v>PABP07013</v>
      </c>
      <c r="E43" s="3">
        <f>Bitácora!N45</f>
        <v>0</v>
      </c>
      <c r="F43" s="3">
        <f>Bitácora!O45</f>
        <v>0</v>
      </c>
      <c r="G43" s="3" t="str">
        <f>Bitácora!Q45</f>
        <v>PABP07013</v>
      </c>
      <c r="H43" s="3">
        <f>Bitácora!R45</f>
        <v>0</v>
      </c>
    </row>
    <row r="44" spans="1:8" hidden="1" x14ac:dyDescent="0.2">
      <c r="A44" s="6">
        <f>Bitácora!A46</f>
        <v>46001</v>
      </c>
      <c r="B44" s="3" t="str">
        <f>Bitácora!B46</f>
        <v>Liliam-Idalia</v>
      </c>
      <c r="C44" s="3">
        <f>Bitácora!C46</f>
        <v>75</v>
      </c>
      <c r="D44" s="3" t="str">
        <f>Bitácora!M46</f>
        <v>PJBP04006</v>
      </c>
      <c r="E44" s="3">
        <f>Bitácora!N46</f>
        <v>0</v>
      </c>
      <c r="F44" s="3">
        <f>Bitácora!O46</f>
        <v>0</v>
      </c>
      <c r="G44" s="3" t="str">
        <f>Bitácora!Q46</f>
        <v>PJBP04006</v>
      </c>
      <c r="H44" s="3">
        <f>Bitácora!R46</f>
        <v>0</v>
      </c>
    </row>
    <row r="45" spans="1:8" hidden="1" x14ac:dyDescent="0.2">
      <c r="A45" s="6">
        <f>Bitácora!A47</f>
        <v>46001</v>
      </c>
      <c r="B45" s="3" t="str">
        <f>Bitácora!B47</f>
        <v>Liliam-Idalia</v>
      </c>
      <c r="C45" s="3">
        <f>Bitácora!C47</f>
        <v>6</v>
      </c>
      <c r="D45" s="3" t="str">
        <f>Bitácora!M47</f>
        <v>PAMP03119</v>
      </c>
      <c r="E45" s="3">
        <f>Bitácora!N47</f>
        <v>0</v>
      </c>
      <c r="F45" s="3">
        <f>Bitácora!O47</f>
        <v>0</v>
      </c>
      <c r="G45" s="3" t="str">
        <f>Bitácora!Q47</f>
        <v>PAMP03119</v>
      </c>
      <c r="H45" s="3">
        <f>Bitácora!R47</f>
        <v>0</v>
      </c>
    </row>
    <row r="46" spans="1:8" hidden="1" x14ac:dyDescent="0.2">
      <c r="A46" s="6">
        <f>Bitácora!A48</f>
        <v>46001</v>
      </c>
      <c r="B46" s="3" t="str">
        <f>Bitácora!B48</f>
        <v>Liliam-Idalia</v>
      </c>
      <c r="C46" s="3">
        <f>Bitácora!C48</f>
        <v>75</v>
      </c>
      <c r="D46" s="3" t="str">
        <f>Bitácora!M48</f>
        <v>PABP04066</v>
      </c>
      <c r="E46" s="3">
        <f>Bitácora!N48</f>
        <v>0</v>
      </c>
      <c r="F46" s="3">
        <f>Bitácora!O48</f>
        <v>0</v>
      </c>
      <c r="G46" s="3" t="str">
        <f>Bitácora!Q48</f>
        <v>PABP04066</v>
      </c>
      <c r="H46" s="3">
        <f>Bitácora!R48</f>
        <v>0</v>
      </c>
    </row>
    <row r="47" spans="1:8" hidden="1" x14ac:dyDescent="0.2">
      <c r="A47" s="6">
        <f>Bitácora!A49</f>
        <v>46001</v>
      </c>
      <c r="B47" s="3" t="str">
        <f>Bitácora!B49</f>
        <v>Liliam-Idalia</v>
      </c>
      <c r="C47" s="3">
        <f>Bitácora!C49</f>
        <v>100</v>
      </c>
      <c r="D47" s="3" t="str">
        <f>Bitácora!M49</f>
        <v>PSBP04027</v>
      </c>
      <c r="E47" s="3">
        <f>Bitácora!N49</f>
        <v>0</v>
      </c>
      <c r="F47" s="3">
        <f>Bitácora!O49</f>
        <v>0</v>
      </c>
      <c r="G47" s="3" t="str">
        <f>Bitácora!Q49</f>
        <v>PSBP04027</v>
      </c>
      <c r="H47" s="3">
        <f>Bitácora!R49</f>
        <v>0</v>
      </c>
    </row>
    <row r="48" spans="1:8" x14ac:dyDescent="0.2">
      <c r="A48" s="6">
        <f>Bitácora!A50</f>
        <v>46001</v>
      </c>
      <c r="B48" s="3" t="str">
        <f>Bitácora!B50</f>
        <v>Liliam-Lidia</v>
      </c>
      <c r="C48" s="3">
        <f>Bitácora!C50</f>
        <v>8</v>
      </c>
      <c r="D48" s="3" t="str">
        <f>Bitácora!M50</f>
        <v>PCBP04102</v>
      </c>
      <c r="E48" s="3" t="str">
        <f>Bitácora!N50</f>
        <v>8 Juniperos chinensis bolsa 9*12</v>
      </c>
      <c r="F48" s="3" t="str">
        <f>Bitácora!O50</f>
        <v>8 Juniperos chinensis bolsa 9*12</v>
      </c>
      <c r="G48" s="3" t="str">
        <f>Bitácora!Q50</f>
        <v>PCBP04102</v>
      </c>
      <c r="H48" s="3">
        <f>Bitácora!R50</f>
        <v>0</v>
      </c>
    </row>
    <row r="49" spans="1:8" x14ac:dyDescent="0.2">
      <c r="A49" s="6">
        <f>Bitácora!A51</f>
        <v>46001</v>
      </c>
      <c r="B49" s="3" t="str">
        <f>Bitácora!B51</f>
        <v>Liliam-Lidia</v>
      </c>
      <c r="C49" s="3">
        <f>Bitácora!C51</f>
        <v>29</v>
      </c>
      <c r="D49" s="3" t="str">
        <f>Bitácora!M51</f>
        <v>PCBP04104</v>
      </c>
      <c r="E49" s="3" t="str">
        <f>Bitácora!N51</f>
        <v>29 cipres mini bolsa 9*12</v>
      </c>
      <c r="F49" s="3" t="str">
        <f>Bitácora!O51</f>
        <v>29 cipres mini bolsa 9*12</v>
      </c>
      <c r="G49" s="3" t="str">
        <f>Bitácora!Q51</f>
        <v>PCBP04104</v>
      </c>
      <c r="H49" s="3">
        <f>Bitácora!R51</f>
        <v>0</v>
      </c>
    </row>
    <row r="50" spans="1:8" hidden="1" x14ac:dyDescent="0.2">
      <c r="A50" s="6">
        <f>Bitácora!A52</f>
        <v>0</v>
      </c>
      <c r="B50" s="3">
        <f>Bitácora!B52</f>
        <v>0</v>
      </c>
      <c r="C50" s="3">
        <f>Bitácora!C52</f>
        <v>0</v>
      </c>
      <c r="D50" s="3">
        <f>Bitácora!M52</f>
        <v>0</v>
      </c>
      <c r="E50" s="3">
        <f>Bitácora!N52</f>
        <v>0</v>
      </c>
      <c r="F50" s="3">
        <f>Bitácora!O52</f>
        <v>0</v>
      </c>
      <c r="G50" s="3">
        <f>Bitácora!Q52</f>
        <v>0</v>
      </c>
      <c r="H50" s="3">
        <f>Bitácora!R52</f>
        <v>0</v>
      </c>
    </row>
  </sheetData>
  <autoFilter ref="A2:H50" xr:uid="{00000000-0009-0000-0000-000003000000}">
    <filterColumn colId="4">
      <filters>
        <filter val="1 Aralia feliscifolia MP#4 dec"/>
        <filter val="20 Araucarias MP#11"/>
        <filter val="29 cipres mini bolsa 9*12"/>
        <filter val="31 Palmera pheonix bolsa 14*16"/>
        <filter val="8 Juniperos chinensis bolsa 9*12"/>
      </filters>
    </filterColumn>
  </autoFilter>
  <mergeCells count="1">
    <mergeCell ref="A1:H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F50"/>
  <sheetViews>
    <sheetView workbookViewId="0">
      <selection activeCell="D55" sqref="D55:D56"/>
    </sheetView>
  </sheetViews>
  <sheetFormatPr defaultColWidth="10.76171875" defaultRowHeight="15" x14ac:dyDescent="0.2"/>
  <cols>
    <col min="2" max="2" width="16.8125" bestFit="1" customWidth="1"/>
    <col min="4" max="4" width="55.82421875" bestFit="1" customWidth="1"/>
    <col min="5" max="5" width="19.37109375" bestFit="1" customWidth="1"/>
  </cols>
  <sheetData>
    <row r="1" spans="1:6" x14ac:dyDescent="0.2">
      <c r="A1" s="30" t="s">
        <v>31</v>
      </c>
      <c r="B1" s="31"/>
      <c r="C1" s="31"/>
      <c r="D1" s="31"/>
      <c r="E1" s="31"/>
      <c r="F1" s="32"/>
    </row>
    <row r="2" spans="1:6" ht="27.75" x14ac:dyDescent="0.2">
      <c r="A2" s="4" t="s">
        <v>14</v>
      </c>
      <c r="B2" s="4" t="s">
        <v>2</v>
      </c>
      <c r="C2" s="4" t="s">
        <v>15</v>
      </c>
      <c r="D2" s="4" t="s">
        <v>3</v>
      </c>
      <c r="E2" s="4" t="s">
        <v>16</v>
      </c>
      <c r="F2" s="4" t="s">
        <v>6</v>
      </c>
    </row>
    <row r="3" spans="1:6" x14ac:dyDescent="0.2">
      <c r="A3" s="5">
        <f>Bitácora!A5</f>
        <v>45992</v>
      </c>
      <c r="B3" s="3" t="str">
        <f>Bitácora!B5</f>
        <v>liliam-Lidia</v>
      </c>
      <c r="C3" s="3">
        <f>Bitácora!C5</f>
        <v>10</v>
      </c>
      <c r="D3" s="3">
        <f>Bitácora!K5</f>
        <v>0</v>
      </c>
      <c r="E3" s="3">
        <f>Bitácora!L5</f>
        <v>0</v>
      </c>
      <c r="F3" s="3" t="str">
        <f>Bitácora!Q5</f>
        <v>PFMP03200</v>
      </c>
    </row>
    <row r="4" spans="1:6" hidden="1" x14ac:dyDescent="0.2">
      <c r="A4" s="5">
        <f>Bitácora!A6</f>
        <v>45992</v>
      </c>
      <c r="B4" s="3" t="str">
        <f>Bitácora!B6</f>
        <v>Liliam-Lidia</v>
      </c>
      <c r="C4" s="3">
        <f>Bitácora!C6</f>
        <v>15</v>
      </c>
      <c r="D4" s="3">
        <f>Bitácora!K6</f>
        <v>0</v>
      </c>
      <c r="E4" s="3">
        <f>Bitácora!L6</f>
        <v>0</v>
      </c>
      <c r="F4" s="3" t="str">
        <f>Bitácora!Q6</f>
        <v>PAMP40017</v>
      </c>
    </row>
    <row r="5" spans="1:6" hidden="1" x14ac:dyDescent="0.2">
      <c r="A5" s="5">
        <f>Bitácora!A7</f>
        <v>45992</v>
      </c>
      <c r="B5" s="3" t="str">
        <f>Bitácora!B7</f>
        <v>Julio-Alberto</v>
      </c>
      <c r="C5" s="3">
        <f>Bitácora!C7</f>
        <v>500</v>
      </c>
      <c r="D5" s="3">
        <f>Bitácora!K7</f>
        <v>0</v>
      </c>
      <c r="E5" s="3">
        <f>Bitácora!L7</f>
        <v>0</v>
      </c>
      <c r="F5" s="3" t="str">
        <f>Bitácora!Q7</f>
        <v>PGBP04001</v>
      </c>
    </row>
    <row r="6" spans="1:6" hidden="1" x14ac:dyDescent="0.2">
      <c r="A6" s="5">
        <f>Bitácora!A8</f>
        <v>45994</v>
      </c>
      <c r="B6" s="3" t="str">
        <f>Bitácora!B8</f>
        <v>Liliam-Lidia-Alberto</v>
      </c>
      <c r="C6" s="3">
        <f>Bitácora!C8</f>
        <v>20</v>
      </c>
      <c r="D6" s="3">
        <f>Bitácora!K8</f>
        <v>0</v>
      </c>
      <c r="E6" s="3">
        <f>Bitácora!L8</f>
        <v>0</v>
      </c>
      <c r="F6" s="3" t="str">
        <f>Bitácora!Q8</f>
        <v>PQCA01001</v>
      </c>
    </row>
    <row r="7" spans="1:6" hidden="1" x14ac:dyDescent="0.2">
      <c r="A7" s="5">
        <f>Bitácora!A9</f>
        <v>45994</v>
      </c>
      <c r="B7" s="3" t="str">
        <f>Bitácora!B9</f>
        <v>Liliam-Lidia-Alberto</v>
      </c>
      <c r="C7" s="3">
        <f>Bitácora!C9</f>
        <v>15</v>
      </c>
      <c r="D7" s="3">
        <f>Bitácora!K9</f>
        <v>0</v>
      </c>
      <c r="E7" s="3">
        <f>Bitácora!L9</f>
        <v>0</v>
      </c>
      <c r="F7" s="3" t="str">
        <f>Bitácora!Q9</f>
        <v>PAMP03017</v>
      </c>
    </row>
    <row r="8" spans="1:6" hidden="1" x14ac:dyDescent="0.2">
      <c r="A8" s="5">
        <f>Bitácora!A10</f>
        <v>45994</v>
      </c>
      <c r="B8" s="3" t="str">
        <f>Bitácora!B10</f>
        <v>Liliam-Lidia-Alberto</v>
      </c>
      <c r="C8" s="3">
        <f>Bitácora!C10</f>
        <v>30</v>
      </c>
      <c r="D8" s="3">
        <f>Bitácora!K10</f>
        <v>0</v>
      </c>
      <c r="E8" s="3">
        <f>Bitácora!L10</f>
        <v>0</v>
      </c>
      <c r="F8" s="3" t="str">
        <f>Bitácora!Q10</f>
        <v>PAMP40017</v>
      </c>
    </row>
    <row r="9" spans="1:6" hidden="1" x14ac:dyDescent="0.2">
      <c r="A9" s="5">
        <f>Bitácora!A11</f>
        <v>45995</v>
      </c>
      <c r="B9" s="3" t="str">
        <f>Bitácora!B11</f>
        <v>Liliam-Lidia</v>
      </c>
      <c r="C9" s="3">
        <f>Bitácora!C11</f>
        <v>31</v>
      </c>
      <c r="D9" s="3">
        <f>Bitácora!K11</f>
        <v>0</v>
      </c>
      <c r="E9" s="3">
        <f>Bitácora!L11</f>
        <v>0</v>
      </c>
      <c r="F9" s="3" t="str">
        <f>Bitácora!Q11</f>
        <v>PPBP07006</v>
      </c>
    </row>
    <row r="10" spans="1:6" hidden="1" x14ac:dyDescent="0.2">
      <c r="A10" s="5">
        <f>Bitácora!A12</f>
        <v>45995</v>
      </c>
      <c r="B10" s="3" t="str">
        <f>Bitácora!B12</f>
        <v>Liliam-Lidia</v>
      </c>
      <c r="C10" s="3">
        <f>Bitácora!C12</f>
        <v>1</v>
      </c>
      <c r="D10" s="3">
        <f>Bitácora!K12</f>
        <v>0</v>
      </c>
      <c r="E10" s="3">
        <f>Bitácora!L12</f>
        <v>0</v>
      </c>
      <c r="F10" s="3" t="str">
        <f>Bitácora!Q12</f>
        <v>PAMP04128</v>
      </c>
    </row>
    <row r="11" spans="1:6" hidden="1" x14ac:dyDescent="0.2">
      <c r="A11" s="5">
        <f>Bitácora!A13</f>
        <v>45995</v>
      </c>
      <c r="B11" s="3" t="str">
        <f>Bitácora!B13</f>
        <v>Fermin-Julio</v>
      </c>
      <c r="C11" s="3">
        <f>Bitácora!C13</f>
        <v>1</v>
      </c>
      <c r="D11" s="3">
        <f>Bitácora!K13</f>
        <v>0</v>
      </c>
      <c r="E11" s="3">
        <f>Bitácora!L13</f>
        <v>0</v>
      </c>
      <c r="F11" s="3" t="str">
        <f>Bitácora!Q13</f>
        <v>PCMP06040</v>
      </c>
    </row>
    <row r="12" spans="1:6" hidden="1" x14ac:dyDescent="0.2">
      <c r="A12" s="5">
        <f>Bitácora!A14</f>
        <v>45995</v>
      </c>
      <c r="B12" s="3" t="str">
        <f>Bitácora!B14</f>
        <v>Fermin-Julio</v>
      </c>
      <c r="C12" s="3">
        <f>Bitácora!C14</f>
        <v>7</v>
      </c>
      <c r="D12" s="3">
        <f>Bitácora!K14</f>
        <v>0</v>
      </c>
      <c r="E12" s="3">
        <f>Bitácora!L14</f>
        <v>0</v>
      </c>
      <c r="F12" s="3" t="str">
        <f>Bitácora!Q14</f>
        <v>PSMP05013</v>
      </c>
    </row>
    <row r="13" spans="1:6" hidden="1" x14ac:dyDescent="0.2">
      <c r="A13" s="5">
        <f>Bitácora!A15</f>
        <v>45995</v>
      </c>
      <c r="B13" s="3" t="str">
        <f>Bitácora!B15</f>
        <v>Fermin-Julio</v>
      </c>
      <c r="C13" s="3">
        <f>Bitácora!C15</f>
        <v>1</v>
      </c>
      <c r="D13" s="3">
        <f>Bitácora!K15</f>
        <v>0</v>
      </c>
      <c r="E13" s="3">
        <f>Bitácora!L15</f>
        <v>0</v>
      </c>
      <c r="F13" s="3" t="str">
        <f>Bitácora!Q15</f>
        <v>PFMP03120</v>
      </c>
    </row>
    <row r="14" spans="1:6" hidden="1" x14ac:dyDescent="0.2">
      <c r="A14" s="5">
        <f>Bitácora!A16</f>
        <v>45995</v>
      </c>
      <c r="B14" s="3" t="str">
        <f>Bitácora!B16</f>
        <v>Fermin-Julio</v>
      </c>
      <c r="C14" s="3">
        <f>Bitácora!C16</f>
        <v>10</v>
      </c>
      <c r="D14" s="3">
        <f>Bitácora!K16</f>
        <v>0</v>
      </c>
      <c r="E14" s="3">
        <f>Bitácora!L16</f>
        <v>0</v>
      </c>
      <c r="F14" s="3" t="str">
        <f>Bitácora!Q16</f>
        <v>PCBP04038</v>
      </c>
    </row>
    <row r="15" spans="1:6" hidden="1" x14ac:dyDescent="0.2">
      <c r="A15" s="5">
        <f>Bitácora!A17</f>
        <v>45995</v>
      </c>
      <c r="B15" s="3" t="str">
        <f>Bitácora!B17</f>
        <v>Fermin-Julio</v>
      </c>
      <c r="C15" s="3">
        <f>Bitácora!C17</f>
        <v>1</v>
      </c>
      <c r="D15" s="3">
        <f>Bitácora!K17</f>
        <v>0</v>
      </c>
      <c r="E15" s="3">
        <f>Bitácora!L17</f>
        <v>0</v>
      </c>
      <c r="F15" s="3" t="str">
        <f>Bitácora!Q17</f>
        <v>PPMP04017</v>
      </c>
    </row>
    <row r="16" spans="1:6" hidden="1" x14ac:dyDescent="0.2">
      <c r="A16" s="5">
        <f>Bitácora!A18</f>
        <v>45995</v>
      </c>
      <c r="B16" s="3" t="str">
        <f>Bitácora!B18</f>
        <v>Fermin-Julio</v>
      </c>
      <c r="C16" s="3">
        <f>Bitácora!C18</f>
        <v>1</v>
      </c>
      <c r="D16" s="3">
        <f>Bitácora!K18</f>
        <v>0</v>
      </c>
      <c r="E16" s="3">
        <f>Bitácora!L18</f>
        <v>0</v>
      </c>
      <c r="F16" s="3" t="str">
        <f>Bitácora!Q18</f>
        <v>PPCA01037</v>
      </c>
    </row>
    <row r="17" spans="1:6" hidden="1" x14ac:dyDescent="0.2">
      <c r="A17" s="5">
        <f>Bitácora!A19</f>
        <v>45995</v>
      </c>
      <c r="B17" s="3" t="str">
        <f>Bitácora!B19</f>
        <v>Fermin-Julio</v>
      </c>
      <c r="C17" s="3">
        <f>Bitácora!C19</f>
        <v>10</v>
      </c>
      <c r="D17" s="3">
        <f>Bitácora!K19</f>
        <v>0</v>
      </c>
      <c r="E17" s="3">
        <f>Bitácora!L19</f>
        <v>0</v>
      </c>
      <c r="F17" s="3" t="str">
        <f>Bitácora!Q19</f>
        <v>PCMP05035</v>
      </c>
    </row>
    <row r="18" spans="1:6" hidden="1" x14ac:dyDescent="0.2">
      <c r="A18" s="5">
        <f>Bitácora!A20</f>
        <v>45995</v>
      </c>
      <c r="B18" s="3" t="str">
        <f>Bitácora!B20</f>
        <v>Fermin-Julio</v>
      </c>
      <c r="C18" s="3">
        <f>Bitácora!C20</f>
        <v>13</v>
      </c>
      <c r="D18" s="3">
        <f>Bitácora!K20</f>
        <v>0</v>
      </c>
      <c r="E18" s="3">
        <f>Bitácora!L20</f>
        <v>0</v>
      </c>
      <c r="F18" s="3" t="str">
        <f>Bitácora!Q20</f>
        <v>PCBP04035</v>
      </c>
    </row>
    <row r="19" spans="1:6" hidden="1" x14ac:dyDescent="0.2">
      <c r="A19" s="5">
        <f>Bitácora!A21</f>
        <v>45995</v>
      </c>
      <c r="B19" s="3" t="str">
        <f>Bitácora!B21</f>
        <v>Fermin-Julio</v>
      </c>
      <c r="C19" s="3">
        <f>Bitácora!C21</f>
        <v>3</v>
      </c>
      <c r="D19" s="3">
        <f>Bitácora!K21</f>
        <v>0</v>
      </c>
      <c r="E19" s="3">
        <f>Bitácora!L21</f>
        <v>0</v>
      </c>
      <c r="F19" s="3" t="str">
        <f>Bitácora!Q21</f>
        <v>PDMP04103</v>
      </c>
    </row>
    <row r="20" spans="1:6" hidden="1" x14ac:dyDescent="0.2">
      <c r="A20" s="5">
        <f>Bitácora!A22</f>
        <v>45995</v>
      </c>
      <c r="B20" s="3" t="str">
        <f>Bitácora!B22</f>
        <v>Fermin-Julio</v>
      </c>
      <c r="C20" s="3">
        <f>Bitácora!C22</f>
        <v>1</v>
      </c>
      <c r="D20" s="3">
        <f>Bitácora!K22</f>
        <v>0</v>
      </c>
      <c r="E20" s="3">
        <f>Bitácora!L22</f>
        <v>0</v>
      </c>
      <c r="F20" s="3" t="str">
        <f>Bitácora!Q22</f>
        <v>PDMP04002</v>
      </c>
    </row>
    <row r="21" spans="1:6" hidden="1" x14ac:dyDescent="0.2">
      <c r="A21" s="5">
        <f>Bitácora!A23</f>
        <v>45995</v>
      </c>
      <c r="B21" s="3" t="str">
        <f>Bitácora!B23</f>
        <v>Fermin-Julio</v>
      </c>
      <c r="C21" s="3">
        <f>Bitácora!C23</f>
        <v>1</v>
      </c>
      <c r="D21" s="3">
        <f>Bitácora!K23</f>
        <v>0</v>
      </c>
      <c r="E21" s="3">
        <f>Bitácora!L23</f>
        <v>0</v>
      </c>
      <c r="F21" s="3" t="str">
        <f>Bitácora!Q23</f>
        <v>PPCA01039</v>
      </c>
    </row>
    <row r="22" spans="1:6" hidden="1" x14ac:dyDescent="0.2">
      <c r="A22" s="5">
        <f>Bitácora!A24</f>
        <v>45995</v>
      </c>
      <c r="B22" s="3" t="str">
        <f>Bitácora!B24</f>
        <v>Fermin-Julio</v>
      </c>
      <c r="C22" s="3">
        <f>Bitácora!C24</f>
        <v>1</v>
      </c>
      <c r="D22" s="3">
        <f>Bitácora!K24</f>
        <v>0</v>
      </c>
      <c r="E22" s="3">
        <f>Bitácora!L24</f>
        <v>0</v>
      </c>
      <c r="F22" s="3" t="str">
        <f>Bitácora!Q24</f>
        <v>PAMP06017</v>
      </c>
    </row>
    <row r="23" spans="1:6" hidden="1" x14ac:dyDescent="0.2">
      <c r="A23" s="5">
        <f>Bitácora!A25</f>
        <v>45995</v>
      </c>
      <c r="B23" s="3" t="str">
        <f>Bitácora!B25</f>
        <v>Fermin-Julio</v>
      </c>
      <c r="C23" s="3">
        <f>Bitácora!C25</f>
        <v>18</v>
      </c>
      <c r="D23" s="3">
        <f>Bitácora!K25</f>
        <v>0</v>
      </c>
      <c r="E23" s="3">
        <f>Bitácora!L25</f>
        <v>0</v>
      </c>
      <c r="F23" s="3" t="str">
        <f>Bitácora!Q25</f>
        <v>PAMP04021</v>
      </c>
    </row>
    <row r="24" spans="1:6" hidden="1" x14ac:dyDescent="0.2">
      <c r="A24" s="5">
        <f>Bitácora!A26</f>
        <v>45995</v>
      </c>
      <c r="B24" s="3" t="str">
        <f>Bitácora!B26</f>
        <v>liliam-Lidia</v>
      </c>
      <c r="C24" s="3">
        <f>Bitácora!C26</f>
        <v>9</v>
      </c>
      <c r="D24" s="3">
        <f>Bitácora!K26</f>
        <v>0</v>
      </c>
      <c r="E24" s="3">
        <f>Bitácora!L26</f>
        <v>0</v>
      </c>
      <c r="F24" s="3" t="str">
        <f>Bitácora!Q26</f>
        <v>PDMP04103</v>
      </c>
    </row>
    <row r="25" spans="1:6" hidden="1" x14ac:dyDescent="0.2">
      <c r="A25" s="5">
        <f>Bitácora!A27</f>
        <v>45995</v>
      </c>
      <c r="B25" s="3" t="str">
        <f>Bitácora!B27</f>
        <v>liliam-Lidia</v>
      </c>
      <c r="C25" s="3">
        <f>Bitácora!C27</f>
        <v>57</v>
      </c>
      <c r="D25" s="3">
        <f>Bitácora!K27</f>
        <v>0</v>
      </c>
      <c r="E25" s="3">
        <f>Bitácora!L27</f>
        <v>0</v>
      </c>
      <c r="F25" s="3" t="str">
        <f>Bitácora!Q27</f>
        <v>PPMP04017</v>
      </c>
    </row>
    <row r="26" spans="1:6" hidden="1" x14ac:dyDescent="0.2">
      <c r="A26" s="5">
        <f>Bitácora!A28</f>
        <v>45995</v>
      </c>
      <c r="B26" s="3" t="str">
        <f>Bitácora!B28</f>
        <v>liliam-Lidia</v>
      </c>
      <c r="C26" s="3">
        <f>Bitácora!C28</f>
        <v>13</v>
      </c>
      <c r="D26" s="3">
        <f>Bitácora!K28</f>
        <v>0</v>
      </c>
      <c r="E26" s="3">
        <f>Bitácora!L28</f>
        <v>0</v>
      </c>
      <c r="F26" s="3" t="str">
        <f>Bitácora!Q28</f>
        <v>PJMP04006</v>
      </c>
    </row>
    <row r="27" spans="1:6" hidden="1" x14ac:dyDescent="0.2">
      <c r="A27" s="5">
        <f>Bitácora!A29</f>
        <v>45995</v>
      </c>
      <c r="B27" s="3" t="str">
        <f>Bitácora!B29</f>
        <v>liliam-Lidia</v>
      </c>
      <c r="C27" s="3">
        <f>Bitácora!C29</f>
        <v>9</v>
      </c>
      <c r="D27" s="3">
        <f>Bitácora!K29</f>
        <v>0</v>
      </c>
      <c r="E27" s="3">
        <f>Bitácora!L29</f>
        <v>0</v>
      </c>
      <c r="F27" s="3" t="str">
        <f>Bitácora!Q29</f>
        <v>PCMP05035</v>
      </c>
    </row>
    <row r="28" spans="1:6" hidden="1" x14ac:dyDescent="0.2">
      <c r="A28" s="5">
        <f>Bitácora!A30</f>
        <v>45995</v>
      </c>
      <c r="B28" s="3" t="str">
        <f>Bitácora!B30</f>
        <v>liliam-Lidia</v>
      </c>
      <c r="C28" s="3">
        <f>Bitácora!C30</f>
        <v>15</v>
      </c>
      <c r="D28" s="3">
        <f>Bitácora!K30</f>
        <v>0</v>
      </c>
      <c r="E28" s="3">
        <f>Bitácora!L30</f>
        <v>0</v>
      </c>
      <c r="F28" s="3" t="str">
        <f>Bitácora!Q30</f>
        <v>PCMP05036</v>
      </c>
    </row>
    <row r="29" spans="1:6" hidden="1" x14ac:dyDescent="0.2">
      <c r="A29" s="5">
        <f>Bitácora!A31</f>
        <v>45995</v>
      </c>
      <c r="B29" s="3" t="str">
        <f>Bitácora!B31</f>
        <v>liliam-Lidia</v>
      </c>
      <c r="C29" s="3">
        <f>Bitácora!C31</f>
        <v>38</v>
      </c>
      <c r="D29" s="3">
        <f>Bitácora!K31</f>
        <v>0</v>
      </c>
      <c r="E29" s="3">
        <f>Bitácora!L31</f>
        <v>0</v>
      </c>
      <c r="F29" s="3" t="str">
        <f>Bitácora!Q31</f>
        <v>PCMP05039</v>
      </c>
    </row>
    <row r="30" spans="1:6" hidden="1" x14ac:dyDescent="0.2">
      <c r="A30" s="5">
        <f>Bitácora!A32</f>
        <v>45995</v>
      </c>
      <c r="B30" s="3" t="str">
        <f>Bitácora!B32</f>
        <v>liliam-Lidia</v>
      </c>
      <c r="C30" s="3">
        <f>Bitácora!C32</f>
        <v>18</v>
      </c>
      <c r="D30" s="3">
        <f>Bitácora!K32</f>
        <v>0</v>
      </c>
      <c r="E30" s="3">
        <f>Bitácora!L32</f>
        <v>0</v>
      </c>
      <c r="F30" s="3" t="str">
        <f>Bitácora!Q32</f>
        <v>PCMP05040</v>
      </c>
    </row>
    <row r="31" spans="1:6" hidden="1" x14ac:dyDescent="0.2">
      <c r="A31" s="5">
        <f>Bitácora!A33</f>
        <v>45995</v>
      </c>
      <c r="B31" s="3" t="str">
        <f>Bitácora!B33</f>
        <v>liliam-Lidia</v>
      </c>
      <c r="C31" s="3">
        <f>Bitácora!C33</f>
        <v>10</v>
      </c>
      <c r="D31" s="3">
        <f>Bitácora!K33</f>
        <v>0</v>
      </c>
      <c r="E31" s="3">
        <f>Bitácora!L33</f>
        <v>0</v>
      </c>
      <c r="F31" s="3" t="str">
        <f>Bitácora!Q33</f>
        <v>PDMP04103</v>
      </c>
    </row>
    <row r="32" spans="1:6" hidden="1" x14ac:dyDescent="0.2">
      <c r="A32" s="5">
        <f>Bitácora!A34</f>
        <v>45995</v>
      </c>
      <c r="B32" s="3" t="str">
        <f>Bitácora!B34</f>
        <v>liliam-Lidia</v>
      </c>
      <c r="C32" s="3">
        <f>Bitácora!C34</f>
        <v>11</v>
      </c>
      <c r="D32" s="3">
        <f>Bitácora!K34</f>
        <v>0</v>
      </c>
      <c r="E32" s="3">
        <f>Bitácora!L34</f>
        <v>0</v>
      </c>
      <c r="F32" s="3" t="str">
        <f>Bitácora!Q34</f>
        <v>PAMP11038</v>
      </c>
    </row>
    <row r="33" spans="1:6" hidden="1" x14ac:dyDescent="0.2">
      <c r="A33" s="5">
        <f>Bitácora!A35</f>
        <v>45995</v>
      </c>
      <c r="B33" s="3" t="str">
        <f>Bitácora!B35</f>
        <v>liliam-Lidia</v>
      </c>
      <c r="C33" s="3">
        <f>Bitácora!C35</f>
        <v>3</v>
      </c>
      <c r="D33" s="3">
        <f>Bitácora!K35</f>
        <v>0</v>
      </c>
      <c r="E33" s="3">
        <f>Bitácora!L35</f>
        <v>0</v>
      </c>
      <c r="F33" s="3" t="str">
        <f>Bitácora!Q35</f>
        <v>PSBP04003</v>
      </c>
    </row>
    <row r="34" spans="1:6" hidden="1" x14ac:dyDescent="0.2">
      <c r="A34" s="5">
        <f>Bitácora!A36</f>
        <v>45995</v>
      </c>
      <c r="B34" s="3" t="str">
        <f>Bitácora!B36</f>
        <v>liliam-Lidia</v>
      </c>
      <c r="C34" s="3">
        <f>Bitácora!C36</f>
        <v>30</v>
      </c>
      <c r="D34" s="3">
        <f>Bitácora!K36</f>
        <v>0</v>
      </c>
      <c r="E34" s="3">
        <f>Bitácora!L36</f>
        <v>0</v>
      </c>
      <c r="F34" s="3" t="str">
        <f>Bitácora!Q36</f>
        <v>PCBP04040</v>
      </c>
    </row>
    <row r="35" spans="1:6" hidden="1" x14ac:dyDescent="0.2">
      <c r="A35" s="5">
        <f>Bitácora!A37</f>
        <v>45995</v>
      </c>
      <c r="B35" s="3" t="str">
        <f>Bitácora!B37</f>
        <v>liliam-Lidia</v>
      </c>
      <c r="C35" s="3">
        <f>Bitácora!C37</f>
        <v>40</v>
      </c>
      <c r="D35" s="3">
        <f>Bitácora!K37</f>
        <v>0</v>
      </c>
      <c r="E35" s="3">
        <f>Bitácora!L37</f>
        <v>0</v>
      </c>
      <c r="F35" s="3" t="str">
        <f>Bitácora!Q37</f>
        <v>PCBP04037</v>
      </c>
    </row>
    <row r="36" spans="1:6" hidden="1" x14ac:dyDescent="0.2">
      <c r="A36" s="5">
        <f>Bitácora!A38</f>
        <v>45995</v>
      </c>
      <c r="B36" s="3" t="str">
        <f>Bitácora!B38</f>
        <v>liliam-Lidia</v>
      </c>
      <c r="C36" s="3">
        <f>Bitácora!C38</f>
        <v>114</v>
      </c>
      <c r="D36" s="3">
        <f>Bitácora!K38</f>
        <v>0</v>
      </c>
      <c r="E36" s="3">
        <f>Bitácora!L38</f>
        <v>0</v>
      </c>
      <c r="F36" s="3" t="str">
        <f>Bitácora!Q38</f>
        <v>PBMP04011</v>
      </c>
    </row>
    <row r="37" spans="1:6" hidden="1" x14ac:dyDescent="0.2">
      <c r="A37" s="5">
        <f>Bitácora!A39</f>
        <v>45995</v>
      </c>
      <c r="B37" s="3" t="str">
        <f>Bitácora!B39</f>
        <v>liliam-Lidia</v>
      </c>
      <c r="C37" s="3">
        <f>Bitácora!C39</f>
        <v>18</v>
      </c>
      <c r="D37" s="3">
        <f>Bitácora!K39</f>
        <v>0</v>
      </c>
      <c r="E37" s="3">
        <f>Bitácora!L39</f>
        <v>0</v>
      </c>
      <c r="F37" s="3" t="str">
        <f>Bitácora!Q39</f>
        <v>PABP04040</v>
      </c>
    </row>
    <row r="38" spans="1:6" hidden="1" x14ac:dyDescent="0.2">
      <c r="A38" s="5">
        <f>Bitácora!A40</f>
        <v>45995</v>
      </c>
      <c r="B38" s="3" t="str">
        <f>Bitácora!B40</f>
        <v>liliam-Lidia</v>
      </c>
      <c r="C38" s="3">
        <f>Bitácora!C40</f>
        <v>10</v>
      </c>
      <c r="D38" s="3">
        <f>Bitácora!K40</f>
        <v>0</v>
      </c>
      <c r="E38" s="3">
        <f>Bitácora!L40</f>
        <v>0</v>
      </c>
      <c r="F38" s="3" t="str">
        <f>Bitácora!Q40</f>
        <v>PCMP06065</v>
      </c>
    </row>
    <row r="39" spans="1:6" hidden="1" x14ac:dyDescent="0.2">
      <c r="A39" s="5">
        <f>Bitácora!A41</f>
        <v>45995</v>
      </c>
      <c r="B39" s="3" t="str">
        <f>Bitácora!B41</f>
        <v>liliam-Lidia</v>
      </c>
      <c r="C39" s="3">
        <f>Bitácora!C41</f>
        <v>25</v>
      </c>
      <c r="D39" s="3">
        <f>Bitácora!K41</f>
        <v>0</v>
      </c>
      <c r="E39" s="3">
        <f>Bitácora!L41</f>
        <v>0</v>
      </c>
      <c r="F39" s="3" t="str">
        <f>Bitácora!Q41</f>
        <v>PCBP07100</v>
      </c>
    </row>
    <row r="40" spans="1:6" hidden="1" x14ac:dyDescent="0.2">
      <c r="A40" s="5">
        <f>Bitácora!A42</f>
        <v>46000</v>
      </c>
      <c r="B40" s="3">
        <f>Bitácora!B42</f>
        <v>0</v>
      </c>
      <c r="C40" s="3">
        <f>Bitácora!C42</f>
        <v>20</v>
      </c>
      <c r="D40" s="3">
        <f>Bitácora!K42</f>
        <v>0</v>
      </c>
      <c r="E40" s="3">
        <f>Bitácora!L42</f>
        <v>0</v>
      </c>
      <c r="F40" s="3" t="str">
        <f>Bitácora!Q42</f>
        <v>PAMP03119</v>
      </c>
    </row>
    <row r="41" spans="1:6" hidden="1" x14ac:dyDescent="0.2">
      <c r="A41" s="5">
        <f>Bitácora!A43</f>
        <v>46001</v>
      </c>
      <c r="B41" s="3" t="str">
        <f>Bitácora!B43</f>
        <v>Liliam-Idalia</v>
      </c>
      <c r="C41" s="3">
        <f>Bitácora!C43</f>
        <v>5</v>
      </c>
      <c r="D41" s="3">
        <f>Bitácora!K43</f>
        <v>0</v>
      </c>
      <c r="E41" s="3">
        <f>Bitácora!L43</f>
        <v>0</v>
      </c>
      <c r="F41" s="3" t="str">
        <f>Bitácora!Q43</f>
        <v>PCBP04104</v>
      </c>
    </row>
    <row r="42" spans="1:6" hidden="1" x14ac:dyDescent="0.2">
      <c r="A42" s="5">
        <f>Bitácora!A44</f>
        <v>46001</v>
      </c>
      <c r="B42" s="3" t="str">
        <f>Bitácora!B44</f>
        <v>Liliam-Idalia</v>
      </c>
      <c r="C42" s="3">
        <f>Bitácora!C44</f>
        <v>36</v>
      </c>
      <c r="D42" s="3">
        <f>Bitácora!K44</f>
        <v>0</v>
      </c>
      <c r="E42" s="3">
        <f>Bitácora!L44</f>
        <v>0</v>
      </c>
      <c r="F42" s="3" t="str">
        <f>Bitácora!Q44</f>
        <v>PCBP04102</v>
      </c>
    </row>
    <row r="43" spans="1:6" hidden="1" x14ac:dyDescent="0.2">
      <c r="A43" s="5">
        <f>Bitácora!A45</f>
        <v>46001</v>
      </c>
      <c r="B43" s="3" t="str">
        <f>Bitácora!B45</f>
        <v>Liliam-Idalia</v>
      </c>
      <c r="C43" s="3">
        <f>Bitácora!C45</f>
        <v>59</v>
      </c>
      <c r="D43" s="3">
        <f>Bitácora!K45</f>
        <v>0</v>
      </c>
      <c r="E43" s="3">
        <f>Bitácora!L45</f>
        <v>0</v>
      </c>
      <c r="F43" s="3" t="str">
        <f>Bitácora!Q45</f>
        <v>PABP07013</v>
      </c>
    </row>
    <row r="44" spans="1:6" hidden="1" x14ac:dyDescent="0.2">
      <c r="A44" s="5">
        <f>Bitácora!A46</f>
        <v>46001</v>
      </c>
      <c r="B44" s="3" t="str">
        <f>Bitácora!B46</f>
        <v>Liliam-Idalia</v>
      </c>
      <c r="C44" s="3">
        <f>Bitácora!C46</f>
        <v>75</v>
      </c>
      <c r="D44" s="3">
        <f>Bitácora!K46</f>
        <v>0</v>
      </c>
      <c r="E44" s="3">
        <f>Bitácora!L46</f>
        <v>0</v>
      </c>
      <c r="F44" s="3" t="str">
        <f>Bitácora!Q46</f>
        <v>PJBP04006</v>
      </c>
    </row>
    <row r="45" spans="1:6" hidden="1" x14ac:dyDescent="0.2">
      <c r="A45" s="5">
        <f>Bitácora!A47</f>
        <v>46001</v>
      </c>
      <c r="B45" s="3" t="str">
        <f>Bitácora!B47</f>
        <v>Liliam-Idalia</v>
      </c>
      <c r="C45" s="3">
        <f>Bitácora!C47</f>
        <v>6</v>
      </c>
      <c r="D45" s="3">
        <f>Bitácora!K47</f>
        <v>0</v>
      </c>
      <c r="E45" s="3">
        <f>Bitácora!L47</f>
        <v>0</v>
      </c>
      <c r="F45" s="3" t="str">
        <f>Bitácora!Q47</f>
        <v>PAMP03119</v>
      </c>
    </row>
    <row r="46" spans="1:6" hidden="1" x14ac:dyDescent="0.2">
      <c r="A46" s="5">
        <f>Bitácora!A48</f>
        <v>46001</v>
      </c>
      <c r="B46" s="3" t="str">
        <f>Bitácora!B48</f>
        <v>Liliam-Idalia</v>
      </c>
      <c r="C46" s="3">
        <f>Bitácora!C48</f>
        <v>75</v>
      </c>
      <c r="D46" s="3">
        <f>Bitácora!K48</f>
        <v>0</v>
      </c>
      <c r="E46" s="3">
        <f>Bitácora!L48</f>
        <v>0</v>
      </c>
      <c r="F46" s="3" t="str">
        <f>Bitácora!Q48</f>
        <v>PABP04066</v>
      </c>
    </row>
    <row r="47" spans="1:6" hidden="1" x14ac:dyDescent="0.2">
      <c r="A47" s="5">
        <f>Bitácora!A49</f>
        <v>46001</v>
      </c>
      <c r="B47" s="3" t="str">
        <f>Bitácora!B49</f>
        <v>Liliam-Idalia</v>
      </c>
      <c r="C47" s="3">
        <f>Bitácora!C49</f>
        <v>100</v>
      </c>
      <c r="D47" s="3">
        <f>Bitácora!K49</f>
        <v>0</v>
      </c>
      <c r="E47" s="3">
        <f>Bitácora!L49</f>
        <v>0</v>
      </c>
      <c r="F47" s="3" t="str">
        <f>Bitácora!Q49</f>
        <v>PSBP04027</v>
      </c>
    </row>
    <row r="48" spans="1:6" hidden="1" x14ac:dyDescent="0.2">
      <c r="A48" s="5">
        <f>Bitácora!A50</f>
        <v>46001</v>
      </c>
      <c r="B48" s="3" t="str">
        <f>Bitácora!B50</f>
        <v>Liliam-Lidia</v>
      </c>
      <c r="C48" s="3">
        <f>Bitácora!C50</f>
        <v>8</v>
      </c>
      <c r="D48" s="3">
        <f>Bitácora!K50</f>
        <v>0</v>
      </c>
      <c r="E48" s="3">
        <f>Bitácora!L50</f>
        <v>0</v>
      </c>
      <c r="F48" s="3" t="str">
        <f>Bitácora!Q50</f>
        <v>PCBP04102</v>
      </c>
    </row>
    <row r="49" spans="1:6" hidden="1" x14ac:dyDescent="0.2">
      <c r="A49" s="5">
        <f>Bitácora!A51</f>
        <v>46001</v>
      </c>
      <c r="B49" s="3" t="str">
        <f>Bitácora!B51</f>
        <v>Liliam-Lidia</v>
      </c>
      <c r="C49" s="3">
        <f>Bitácora!C51</f>
        <v>29</v>
      </c>
      <c r="D49" s="3">
        <f>Bitácora!K51</f>
        <v>0</v>
      </c>
      <c r="E49" s="3">
        <f>Bitácora!L51</f>
        <v>0</v>
      </c>
      <c r="F49" s="3" t="str">
        <f>Bitácora!Q51</f>
        <v>PCBP04104</v>
      </c>
    </row>
    <row r="50" spans="1:6" x14ac:dyDescent="0.2">
      <c r="A50" s="33" t="s">
        <v>162</v>
      </c>
      <c r="B50" s="33"/>
      <c r="C50" s="33"/>
      <c r="D50" s="33"/>
      <c r="E50" s="33"/>
      <c r="F50" s="33"/>
    </row>
  </sheetData>
  <autoFilter ref="A2:F49" xr:uid="{00000000-0009-0000-0000-000004000000}">
    <filterColumn colId="3">
      <filters>
        <filter val="1 Dracaena florida beuty MP#3 dec"/>
        <filter val="10 Ficus lyrita MP#4 dec"/>
        <filter val="150 Dracaena sanderiana verde con blanco (golden) bolsa 6*8"/>
        <filter val="2 Aralia balfouriana trenza MP#4 dec"/>
        <filter val="2 Aralia balfouriana trenza MP#5"/>
        <filter val="4 Aralia perejil malla plana MPJ#1"/>
        <filter val="6 Aralia balfiouriana MP#3 dec"/>
        <filter val="Coordeline fructosa rosada MP#3 dec"/>
        <filter val="Ficus Elastica MP#2 dec"/>
      </filters>
    </filterColumn>
  </autoFilter>
  <mergeCells count="2">
    <mergeCell ref="A1:F1"/>
    <mergeCell ref="A50:F5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workbookViewId="0">
      <selection activeCell="H15" sqref="H15"/>
    </sheetView>
  </sheetViews>
  <sheetFormatPr defaultColWidth="10.76171875" defaultRowHeight="34.5" customHeight="1" x14ac:dyDescent="0.2"/>
  <cols>
    <col min="1" max="1" width="11.1640625" bestFit="1" customWidth="1"/>
    <col min="2" max="2" width="37.125" customWidth="1"/>
    <col min="3" max="3" width="19.234375" bestFit="1" customWidth="1"/>
    <col min="6" max="6" width="23.5390625" bestFit="1" customWidth="1"/>
    <col min="7" max="7" width="22.734375" bestFit="1" customWidth="1"/>
    <col min="8" max="8" width="28.515625" customWidth="1"/>
    <col min="11" max="11" width="12.64453125" bestFit="1" customWidth="1"/>
  </cols>
  <sheetData>
    <row r="1" spans="1:10" ht="34.5" customHeight="1" x14ac:dyDescent="0.2">
      <c r="A1" s="24" t="s">
        <v>48</v>
      </c>
      <c r="B1" s="24"/>
    </row>
    <row r="2" spans="1:10" ht="34.5" customHeight="1" x14ac:dyDescent="0.2">
      <c r="A2" s="12" t="s">
        <v>35</v>
      </c>
      <c r="B2" s="12" t="s">
        <v>44</v>
      </c>
    </row>
    <row r="3" spans="1:10" ht="34.5" customHeight="1" x14ac:dyDescent="0.2">
      <c r="A3" s="14">
        <v>4</v>
      </c>
      <c r="B3" s="14">
        <v>400</v>
      </c>
    </row>
    <row r="4" spans="1:10" ht="34.5" customHeight="1" x14ac:dyDescent="0.2">
      <c r="A4" s="14">
        <v>5</v>
      </c>
      <c r="B4" s="14">
        <v>950</v>
      </c>
      <c r="G4" s="35"/>
      <c r="H4" s="35"/>
      <c r="I4" s="35"/>
      <c r="J4" s="35"/>
    </row>
    <row r="5" spans="1:10" ht="34.5" customHeight="1" x14ac:dyDescent="0.2">
      <c r="A5" s="14">
        <v>6</v>
      </c>
      <c r="B5" s="14">
        <v>1230</v>
      </c>
      <c r="I5" s="11"/>
    </row>
    <row r="6" spans="1:10" ht="34.5" customHeight="1" x14ac:dyDescent="0.2">
      <c r="A6" s="14" t="s">
        <v>36</v>
      </c>
      <c r="B6" s="14">
        <v>10480</v>
      </c>
      <c r="G6" s="35"/>
      <c r="J6" s="34"/>
    </row>
    <row r="7" spans="1:10" ht="34.5" customHeight="1" x14ac:dyDescent="0.2">
      <c r="A7" s="28" t="s">
        <v>47</v>
      </c>
      <c r="B7" s="28"/>
      <c r="G7" s="35"/>
      <c r="J7" s="34"/>
    </row>
    <row r="8" spans="1:10" ht="34.5" customHeight="1" x14ac:dyDescent="0.2">
      <c r="A8" s="14">
        <v>1</v>
      </c>
      <c r="B8" s="14">
        <v>5000</v>
      </c>
      <c r="G8" s="35"/>
      <c r="J8" s="34"/>
    </row>
    <row r="9" spans="1:10" ht="34.5" customHeight="1" x14ac:dyDescent="0.2">
      <c r="A9" s="14">
        <v>2</v>
      </c>
      <c r="B9" s="14">
        <v>6500</v>
      </c>
      <c r="G9" s="17"/>
      <c r="J9" s="34"/>
    </row>
    <row r="10" spans="1:10" ht="34.5" customHeight="1" x14ac:dyDescent="0.2">
      <c r="A10" s="14">
        <v>3</v>
      </c>
      <c r="B10" s="14">
        <v>11300</v>
      </c>
      <c r="F10" s="17"/>
      <c r="G10" s="17"/>
      <c r="J10" s="34"/>
    </row>
    <row r="11" spans="1:10" ht="34.5" customHeight="1" x14ac:dyDescent="0.2">
      <c r="A11" s="14">
        <v>4</v>
      </c>
      <c r="B11" s="14">
        <v>15600</v>
      </c>
      <c r="F11" s="35"/>
      <c r="G11" s="35"/>
      <c r="J11" s="34"/>
    </row>
    <row r="12" spans="1:10" ht="34.5" customHeight="1" x14ac:dyDescent="0.2">
      <c r="A12" s="14" t="s">
        <v>41</v>
      </c>
      <c r="B12" s="14">
        <v>18560</v>
      </c>
      <c r="G12" s="17"/>
      <c r="J12" s="34"/>
    </row>
    <row r="13" spans="1:10" ht="34.5" customHeight="1" x14ac:dyDescent="0.2">
      <c r="A13" s="28" t="s">
        <v>37</v>
      </c>
      <c r="B13" s="28"/>
      <c r="G13" s="17"/>
      <c r="J13" s="34"/>
    </row>
    <row r="14" spans="1:10" ht="34.5" customHeight="1" x14ac:dyDescent="0.2">
      <c r="A14" s="14" t="s">
        <v>38</v>
      </c>
      <c r="B14" s="14">
        <v>2000</v>
      </c>
      <c r="G14" s="17"/>
      <c r="H14" s="18"/>
      <c r="I14" s="13"/>
      <c r="J14" s="34"/>
    </row>
    <row r="15" spans="1:10" ht="34.5" customHeight="1" x14ac:dyDescent="0.2">
      <c r="A15" s="14" t="s">
        <v>39</v>
      </c>
      <c r="B15" s="14">
        <v>6246</v>
      </c>
    </row>
    <row r="16" spans="1:10" ht="34.5" customHeight="1" x14ac:dyDescent="0.2">
      <c r="A16" s="14" t="s">
        <v>40</v>
      </c>
      <c r="B16" s="14">
        <v>15000</v>
      </c>
    </row>
    <row r="17" spans="1:12" ht="34.5" customHeight="1" x14ac:dyDescent="0.2">
      <c r="A17" s="14" t="s">
        <v>42</v>
      </c>
      <c r="B17" s="14">
        <v>15000</v>
      </c>
    </row>
    <row r="18" spans="1:12" ht="34.5" customHeight="1" x14ac:dyDescent="0.2">
      <c r="A18" s="14" t="s">
        <v>43</v>
      </c>
      <c r="B18" s="14" t="s">
        <v>46</v>
      </c>
      <c r="H18" s="11"/>
    </row>
    <row r="19" spans="1:12" ht="34.5" customHeight="1" x14ac:dyDescent="0.2">
      <c r="A19" s="14" t="s">
        <v>34</v>
      </c>
      <c r="B19" s="14">
        <v>6000</v>
      </c>
      <c r="H19" s="11"/>
    </row>
    <row r="20" spans="1:12" ht="34.5" customHeight="1" x14ac:dyDescent="0.2">
      <c r="A20" s="14" t="s">
        <v>45</v>
      </c>
      <c r="B20" s="14">
        <v>2500</v>
      </c>
      <c r="H20" s="11"/>
    </row>
    <row r="21" spans="1:12" ht="15" x14ac:dyDescent="0.2"/>
    <row r="22" spans="1:12" ht="15" x14ac:dyDescent="0.2"/>
    <row r="23" spans="1:12" ht="15" x14ac:dyDescent="0.2"/>
    <row r="24" spans="1:12" ht="15" x14ac:dyDescent="0.2"/>
    <row r="25" spans="1:12" ht="15" x14ac:dyDescent="0.2"/>
    <row r="26" spans="1:12" ht="15" x14ac:dyDescent="0.2"/>
    <row r="27" spans="1:12" ht="15" x14ac:dyDescent="0.2"/>
    <row r="28" spans="1:12" ht="15" x14ac:dyDescent="0.2"/>
    <row r="29" spans="1:12" ht="15" x14ac:dyDescent="0.2"/>
    <row r="30" spans="1:12" ht="15" x14ac:dyDescent="0.2">
      <c r="L30" s="13"/>
    </row>
    <row r="31" spans="1:12" ht="15" x14ac:dyDescent="0.2"/>
  </sheetData>
  <mergeCells count="9">
    <mergeCell ref="J6:J8"/>
    <mergeCell ref="J9:J10"/>
    <mergeCell ref="J11:J14"/>
    <mergeCell ref="G4:J4"/>
    <mergeCell ref="A1:B1"/>
    <mergeCell ref="A7:B7"/>
    <mergeCell ref="A13:B13"/>
    <mergeCell ref="G6:G8"/>
    <mergeCell ref="F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Bitácora</vt:lpstr>
      <vt:lpstr>Producción</vt:lpstr>
      <vt:lpstr>Descargo</vt:lpstr>
      <vt:lpstr>Cambio de presentación</vt:lpstr>
      <vt:lpstr>Campo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DURALITA</cp:lastModifiedBy>
  <cp:lastPrinted>2025-12-08T15:06:35Z</cp:lastPrinted>
  <dcterms:created xsi:type="dcterms:W3CDTF">2019-10-28T20:13:26Z</dcterms:created>
  <dcterms:modified xsi:type="dcterms:W3CDTF">2025-12-08T16:09:52Z</dcterms:modified>
</cp:coreProperties>
</file>