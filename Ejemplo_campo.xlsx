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URALITA\Desktop\Venta local\Año 2025\"/>
    </mc:Choice>
  </mc:AlternateContent>
  <xr:revisionPtr revIDLastSave="0" documentId="8_{58570DE1-0777-884A-AA3B-64B70A3C98FA}" xr6:coauthVersionLast="47" xr6:coauthVersionMax="47" xr10:uidLastSave="{00000000-0000-0000-0000-000000000000}"/>
  <bookViews>
    <workbookView xWindow="0" yWindow="60" windowWidth="20490" windowHeight="7695" activeTab="4" xr2:uid="{00000000-000D-0000-FFFF-FFFF00000000}"/>
  </bookViews>
  <sheets>
    <sheet name="Bitácora" sheetId="1" r:id="rId1"/>
    <sheet name="Producción" sheetId="2" r:id="rId2"/>
    <sheet name="Descargo" sheetId="3" r:id="rId3"/>
    <sheet name="Cambio de presentación" sheetId="4" r:id="rId4"/>
    <sheet name="Campo" sheetId="5" r:id="rId5"/>
    <sheet name="Hoja1" sheetId="6" r:id="rId6"/>
  </sheets>
  <definedNames>
    <definedName name="_xlnm._FilterDatabase" localSheetId="3" hidden="1">'Cambio de presentación'!$A$2:$H$131</definedName>
    <definedName name="_xlnm._FilterDatabase" localSheetId="4" hidden="1">Campo!$A$2:$F$79</definedName>
    <definedName name="_xlnm._FilterDatabase" localSheetId="2" hidden="1">Descargo!$A$2:$F$3</definedName>
    <definedName name="_xlnm._FilterDatabase" localSheetId="1" hidden="1">Producción!$A$2:$J$7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B4" i="5"/>
  <c r="C4" i="5"/>
  <c r="D4" i="5"/>
  <c r="E4" i="5"/>
  <c r="Q6" i="1"/>
  <c r="F4" i="5"/>
  <c r="A5" i="5"/>
  <c r="B5" i="5"/>
  <c r="C5" i="5"/>
  <c r="D5" i="5"/>
  <c r="E5" i="5"/>
  <c r="Q7" i="1"/>
  <c r="F5" i="5"/>
  <c r="A6" i="5"/>
  <c r="B6" i="5"/>
  <c r="C6" i="5"/>
  <c r="D6" i="5"/>
  <c r="E6" i="5"/>
  <c r="Q8" i="1"/>
  <c r="F6" i="5"/>
  <c r="A7" i="5"/>
  <c r="B7" i="5"/>
  <c r="C7" i="5"/>
  <c r="D7" i="5"/>
  <c r="E7" i="5"/>
  <c r="Q9" i="1"/>
  <c r="F7" i="5"/>
  <c r="A8" i="5"/>
  <c r="B8" i="5"/>
  <c r="C8" i="5"/>
  <c r="D8" i="5"/>
  <c r="E8" i="5"/>
  <c r="Q10" i="1"/>
  <c r="F8" i="5"/>
  <c r="A9" i="5"/>
  <c r="B9" i="5"/>
  <c r="C9" i="5"/>
  <c r="D9" i="5"/>
  <c r="E9" i="5"/>
  <c r="A10" i="5"/>
  <c r="B10" i="5"/>
  <c r="C10" i="5"/>
  <c r="D10" i="5"/>
  <c r="E10" i="5"/>
  <c r="Q12" i="1"/>
  <c r="F10" i="5"/>
  <c r="A11" i="5"/>
  <c r="B11" i="5"/>
  <c r="C11" i="5"/>
  <c r="D11" i="5"/>
  <c r="E11" i="5"/>
  <c r="A12" i="5"/>
  <c r="B12" i="5"/>
  <c r="C12" i="5"/>
  <c r="D12" i="5"/>
  <c r="E12" i="5"/>
  <c r="Q14" i="1"/>
  <c r="F12" i="5"/>
  <c r="A13" i="5"/>
  <c r="B13" i="5"/>
  <c r="C13" i="5"/>
  <c r="D13" i="5"/>
  <c r="E13" i="5"/>
  <c r="Q15" i="1"/>
  <c r="F13" i="5"/>
  <c r="A14" i="5"/>
  <c r="B14" i="5"/>
  <c r="C14" i="5"/>
  <c r="D14" i="5"/>
  <c r="E14" i="5"/>
  <c r="Q16" i="1"/>
  <c r="F14" i="5"/>
  <c r="A15" i="5"/>
  <c r="B15" i="5"/>
  <c r="C15" i="5"/>
  <c r="D15" i="5"/>
  <c r="E15" i="5"/>
  <c r="F15" i="5"/>
  <c r="A16" i="5"/>
  <c r="B16" i="5"/>
  <c r="C16" i="5"/>
  <c r="D16" i="5"/>
  <c r="E16" i="5"/>
  <c r="Q18" i="1"/>
  <c r="F16" i="5"/>
  <c r="A17" i="5"/>
  <c r="B17" i="5"/>
  <c r="C17" i="5"/>
  <c r="D17" i="5"/>
  <c r="E17" i="5"/>
  <c r="Q19" i="1"/>
  <c r="F17" i="5"/>
  <c r="A18" i="5"/>
  <c r="B18" i="5"/>
  <c r="C18" i="5"/>
  <c r="D18" i="5"/>
  <c r="E18" i="5"/>
  <c r="Q20" i="1"/>
  <c r="F18" i="5"/>
  <c r="A19" i="5"/>
  <c r="B19" i="5"/>
  <c r="C19" i="5"/>
  <c r="D19" i="5"/>
  <c r="E19" i="5"/>
  <c r="Q21" i="1"/>
  <c r="F19" i="5"/>
  <c r="A20" i="5"/>
  <c r="B20" i="5"/>
  <c r="C20" i="5"/>
  <c r="D20" i="5"/>
  <c r="E20" i="5"/>
  <c r="Q22" i="1"/>
  <c r="F20" i="5"/>
  <c r="A21" i="5"/>
  <c r="B21" i="5"/>
  <c r="C21" i="5"/>
  <c r="D21" i="5"/>
  <c r="E21" i="5"/>
  <c r="Q23" i="1"/>
  <c r="F21" i="5"/>
  <c r="A22" i="5"/>
  <c r="B22" i="5"/>
  <c r="C22" i="5"/>
  <c r="D22" i="5"/>
  <c r="E22" i="5"/>
  <c r="Q24" i="1"/>
  <c r="F22" i="5"/>
  <c r="A23" i="5"/>
  <c r="B23" i="5"/>
  <c r="C23" i="5"/>
  <c r="D23" i="5"/>
  <c r="E23" i="5"/>
  <c r="A24" i="5"/>
  <c r="B24" i="5"/>
  <c r="C24" i="5"/>
  <c r="D24" i="5"/>
  <c r="E24" i="5"/>
  <c r="Q26" i="1"/>
  <c r="F24" i="5"/>
  <c r="A25" i="5"/>
  <c r="B25" i="5"/>
  <c r="C25" i="5"/>
  <c r="D25" i="5"/>
  <c r="E25" i="5"/>
  <c r="Q27" i="1"/>
  <c r="F25" i="5"/>
  <c r="A26" i="5"/>
  <c r="B26" i="5"/>
  <c r="C26" i="5"/>
  <c r="D26" i="5"/>
  <c r="E26" i="5"/>
  <c r="F26" i="5"/>
  <c r="A27" i="5"/>
  <c r="B27" i="5"/>
  <c r="C27" i="5"/>
  <c r="D27" i="5"/>
  <c r="E27" i="5"/>
  <c r="F27" i="5"/>
  <c r="A28" i="5"/>
  <c r="B28" i="5"/>
  <c r="C28" i="5"/>
  <c r="D28" i="5"/>
  <c r="E28" i="5"/>
  <c r="F28" i="5"/>
  <c r="A29" i="5"/>
  <c r="B29" i="5"/>
  <c r="C29" i="5"/>
  <c r="D29" i="5"/>
  <c r="E29" i="5"/>
  <c r="F29" i="5"/>
  <c r="A30" i="5"/>
  <c r="B30" i="5"/>
  <c r="C30" i="5"/>
  <c r="D30" i="5"/>
  <c r="E30" i="5"/>
  <c r="F30" i="5"/>
  <c r="A31" i="5"/>
  <c r="B31" i="5"/>
  <c r="C31" i="5"/>
  <c r="D31" i="5"/>
  <c r="E31" i="5"/>
  <c r="F31" i="5"/>
  <c r="A32" i="5"/>
  <c r="B32" i="5"/>
  <c r="C32" i="5"/>
  <c r="D32" i="5"/>
  <c r="E32" i="5"/>
  <c r="F32" i="5"/>
  <c r="A33" i="5"/>
  <c r="B33" i="5"/>
  <c r="C33" i="5"/>
  <c r="D33" i="5"/>
  <c r="E33" i="5"/>
  <c r="F33" i="5"/>
  <c r="A34" i="5"/>
  <c r="B34" i="5"/>
  <c r="C34" i="5"/>
  <c r="D34" i="5"/>
  <c r="E34" i="5"/>
  <c r="F34" i="5"/>
  <c r="A35" i="5"/>
  <c r="B35" i="5"/>
  <c r="C35" i="5"/>
  <c r="D35" i="5"/>
  <c r="E35" i="5"/>
  <c r="F35" i="5"/>
  <c r="A36" i="5"/>
  <c r="B36" i="5"/>
  <c r="C36" i="5"/>
  <c r="D36" i="5"/>
  <c r="E36" i="5"/>
  <c r="F36" i="5"/>
  <c r="A37" i="5"/>
  <c r="B37" i="5"/>
  <c r="C37" i="5"/>
  <c r="D37" i="5"/>
  <c r="E37" i="5"/>
  <c r="F37" i="5"/>
  <c r="A38" i="5"/>
  <c r="B38" i="5"/>
  <c r="C38" i="5"/>
  <c r="D38" i="5"/>
  <c r="E38" i="5"/>
  <c r="F38" i="5"/>
  <c r="A39" i="5"/>
  <c r="B39" i="5"/>
  <c r="C39" i="5"/>
  <c r="D39" i="5"/>
  <c r="E39" i="5"/>
  <c r="F39" i="5"/>
  <c r="A40" i="5"/>
  <c r="B40" i="5"/>
  <c r="C40" i="5"/>
  <c r="D40" i="5"/>
  <c r="E40" i="5"/>
  <c r="F40" i="5"/>
  <c r="A41" i="5"/>
  <c r="B41" i="5"/>
  <c r="C41" i="5"/>
  <c r="D41" i="5"/>
  <c r="E41" i="5"/>
  <c r="F41" i="5"/>
  <c r="A42" i="5"/>
  <c r="B42" i="5"/>
  <c r="C42" i="5"/>
  <c r="D42" i="5"/>
  <c r="E42" i="5"/>
  <c r="F42" i="5"/>
  <c r="A43" i="5"/>
  <c r="B43" i="5"/>
  <c r="C43" i="5"/>
  <c r="D43" i="5"/>
  <c r="E43" i="5"/>
  <c r="F43" i="5"/>
  <c r="A44" i="5"/>
  <c r="B44" i="5"/>
  <c r="C44" i="5"/>
  <c r="D44" i="5"/>
  <c r="E44" i="5"/>
  <c r="F44" i="5"/>
  <c r="A45" i="5"/>
  <c r="B45" i="5"/>
  <c r="C45" i="5"/>
  <c r="D45" i="5"/>
  <c r="E45" i="5"/>
  <c r="F45" i="5"/>
  <c r="A46" i="5"/>
  <c r="B46" i="5"/>
  <c r="C46" i="5"/>
  <c r="D46" i="5"/>
  <c r="E46" i="5"/>
  <c r="F46" i="5"/>
  <c r="A47" i="5"/>
  <c r="B47" i="5"/>
  <c r="C47" i="5"/>
  <c r="D47" i="5"/>
  <c r="E47" i="5"/>
  <c r="F47" i="5"/>
  <c r="A48" i="5"/>
  <c r="B48" i="5"/>
  <c r="C48" i="5"/>
  <c r="D48" i="5"/>
  <c r="E48" i="5"/>
  <c r="F48" i="5"/>
  <c r="A49" i="5"/>
  <c r="B49" i="5"/>
  <c r="C49" i="5"/>
  <c r="D49" i="5"/>
  <c r="E49" i="5"/>
  <c r="F49" i="5"/>
  <c r="A50" i="5"/>
  <c r="B50" i="5"/>
  <c r="C50" i="5"/>
  <c r="D50" i="5"/>
  <c r="E50" i="5"/>
  <c r="F50" i="5"/>
  <c r="A51" i="5"/>
  <c r="B51" i="5"/>
  <c r="C51" i="5"/>
  <c r="D51" i="5"/>
  <c r="E51" i="5"/>
  <c r="F51" i="5"/>
  <c r="A52" i="5"/>
  <c r="B52" i="5"/>
  <c r="C52" i="5"/>
  <c r="D52" i="5"/>
  <c r="E52" i="5"/>
  <c r="F52" i="5"/>
  <c r="A53" i="5"/>
  <c r="B53" i="5"/>
  <c r="C53" i="5"/>
  <c r="D53" i="5"/>
  <c r="E53" i="5"/>
  <c r="F53" i="5"/>
  <c r="A54" i="5"/>
  <c r="B54" i="5"/>
  <c r="C54" i="5"/>
  <c r="D54" i="5"/>
  <c r="E54" i="5"/>
  <c r="F54" i="5"/>
  <c r="A55" i="5"/>
  <c r="B55" i="5"/>
  <c r="C55" i="5"/>
  <c r="D55" i="5"/>
  <c r="E55" i="5"/>
  <c r="F55" i="5"/>
  <c r="A56" i="5"/>
  <c r="B56" i="5"/>
  <c r="C56" i="5"/>
  <c r="D56" i="5"/>
  <c r="E56" i="5"/>
  <c r="F56" i="5"/>
  <c r="A57" i="5"/>
  <c r="B57" i="5"/>
  <c r="C57" i="5"/>
  <c r="D57" i="5"/>
  <c r="E57" i="5"/>
  <c r="F57" i="5"/>
  <c r="A58" i="5"/>
  <c r="B58" i="5"/>
  <c r="C58" i="5"/>
  <c r="D58" i="5"/>
  <c r="E58" i="5"/>
  <c r="F58" i="5"/>
  <c r="A59" i="5"/>
  <c r="B59" i="5"/>
  <c r="C59" i="5"/>
  <c r="D59" i="5"/>
  <c r="E59" i="5"/>
  <c r="F59" i="5"/>
  <c r="A60" i="5"/>
  <c r="B60" i="5"/>
  <c r="C60" i="5"/>
  <c r="D60" i="5"/>
  <c r="E60" i="5"/>
  <c r="F60" i="5"/>
  <c r="A61" i="5"/>
  <c r="B61" i="5"/>
  <c r="C61" i="5"/>
  <c r="D61" i="5"/>
  <c r="E61" i="5"/>
  <c r="F61" i="5"/>
  <c r="A62" i="5"/>
  <c r="B62" i="5"/>
  <c r="C62" i="5"/>
  <c r="D62" i="5"/>
  <c r="E62" i="5"/>
  <c r="F62" i="5"/>
  <c r="A63" i="5"/>
  <c r="B63" i="5"/>
  <c r="C63" i="5"/>
  <c r="D63" i="5"/>
  <c r="E63" i="5"/>
  <c r="F63" i="5"/>
  <c r="A64" i="5"/>
  <c r="B64" i="5"/>
  <c r="C64" i="5"/>
  <c r="D64" i="5"/>
  <c r="E64" i="5"/>
  <c r="F64" i="5"/>
  <c r="A65" i="5"/>
  <c r="B65" i="5"/>
  <c r="C65" i="5"/>
  <c r="D65" i="5"/>
  <c r="E65" i="5"/>
  <c r="F65" i="5"/>
  <c r="A66" i="5"/>
  <c r="B66" i="5"/>
  <c r="C66" i="5"/>
  <c r="D66" i="5"/>
  <c r="E66" i="5"/>
  <c r="F66" i="5"/>
  <c r="A67" i="5"/>
  <c r="B67" i="5"/>
  <c r="C67" i="5"/>
  <c r="D67" i="5"/>
  <c r="E67" i="5"/>
  <c r="F67" i="5"/>
  <c r="A68" i="5"/>
  <c r="B68" i="5"/>
  <c r="C68" i="5"/>
  <c r="D68" i="5"/>
  <c r="E68" i="5"/>
  <c r="F68" i="5"/>
  <c r="A69" i="5"/>
  <c r="B69" i="5"/>
  <c r="C69" i="5"/>
  <c r="D69" i="5"/>
  <c r="E69" i="5"/>
  <c r="F69" i="5"/>
  <c r="A70" i="5"/>
  <c r="B70" i="5"/>
  <c r="C70" i="5"/>
  <c r="D70" i="5"/>
  <c r="E70" i="5"/>
  <c r="F70" i="5"/>
  <c r="A4" i="4"/>
  <c r="B4" i="4"/>
  <c r="C4" i="4"/>
  <c r="D4" i="4"/>
  <c r="E4" i="4"/>
  <c r="F4" i="4"/>
  <c r="G4" i="4"/>
  <c r="H4" i="4"/>
  <c r="A5" i="4"/>
  <c r="B5" i="4"/>
  <c r="C5" i="4"/>
  <c r="D5" i="4"/>
  <c r="E5" i="4"/>
  <c r="F5" i="4"/>
  <c r="G5" i="4"/>
  <c r="H5" i="4"/>
  <c r="A6" i="4"/>
  <c r="B6" i="4"/>
  <c r="C6" i="4"/>
  <c r="D6" i="4"/>
  <c r="E6" i="4"/>
  <c r="F6" i="4"/>
  <c r="G6" i="4"/>
  <c r="H6" i="4"/>
  <c r="A7" i="4"/>
  <c r="B7" i="4"/>
  <c r="C7" i="4"/>
  <c r="D7" i="4"/>
  <c r="E7" i="4"/>
  <c r="F7" i="4"/>
  <c r="G7" i="4"/>
  <c r="H7" i="4"/>
  <c r="A8" i="4"/>
  <c r="B8" i="4"/>
  <c r="C8" i="4"/>
  <c r="D8" i="4"/>
  <c r="E8" i="4"/>
  <c r="F8" i="4"/>
  <c r="G8" i="4"/>
  <c r="H8" i="4"/>
  <c r="A9" i="4"/>
  <c r="B9" i="4"/>
  <c r="C9" i="4"/>
  <c r="D9" i="4"/>
  <c r="E9" i="4"/>
  <c r="F9" i="4"/>
  <c r="H9" i="4"/>
  <c r="A10" i="4"/>
  <c r="B10" i="4"/>
  <c r="C10" i="4"/>
  <c r="D10" i="4"/>
  <c r="E10" i="4"/>
  <c r="F10" i="4"/>
  <c r="G10" i="4"/>
  <c r="H10" i="4"/>
  <c r="A11" i="4"/>
  <c r="B11" i="4"/>
  <c r="C11" i="4"/>
  <c r="D11" i="4"/>
  <c r="E11" i="4"/>
  <c r="F11" i="4"/>
  <c r="H11" i="4"/>
  <c r="A12" i="4"/>
  <c r="B12" i="4"/>
  <c r="C12" i="4"/>
  <c r="D12" i="4"/>
  <c r="E12" i="4"/>
  <c r="F12" i="4"/>
  <c r="G12" i="4"/>
  <c r="H12" i="4"/>
  <c r="A13" i="4"/>
  <c r="B13" i="4"/>
  <c r="C13" i="4"/>
  <c r="D13" i="4"/>
  <c r="E13" i="4"/>
  <c r="F13" i="4"/>
  <c r="G13" i="4"/>
  <c r="H13" i="4"/>
  <c r="A14" i="4"/>
  <c r="B14" i="4"/>
  <c r="C14" i="4"/>
  <c r="D14" i="4"/>
  <c r="E14" i="4"/>
  <c r="F14" i="4"/>
  <c r="G14" i="4"/>
  <c r="H14" i="4"/>
  <c r="A15" i="4"/>
  <c r="B15" i="4"/>
  <c r="C15" i="4"/>
  <c r="D15" i="4"/>
  <c r="E15" i="4"/>
  <c r="F15" i="4"/>
  <c r="G15" i="4"/>
  <c r="H15" i="4"/>
  <c r="A16" i="4"/>
  <c r="B16" i="4"/>
  <c r="C16" i="4"/>
  <c r="D16" i="4"/>
  <c r="E16" i="4"/>
  <c r="F16" i="4"/>
  <c r="G16" i="4"/>
  <c r="H16" i="4"/>
  <c r="A17" i="4"/>
  <c r="B17" i="4"/>
  <c r="C17" i="4"/>
  <c r="D17" i="4"/>
  <c r="E17" i="4"/>
  <c r="F17" i="4"/>
  <c r="G17" i="4"/>
  <c r="H17" i="4"/>
  <c r="A18" i="4"/>
  <c r="B18" i="4"/>
  <c r="C18" i="4"/>
  <c r="D18" i="4"/>
  <c r="E18" i="4"/>
  <c r="F18" i="4"/>
  <c r="G18" i="4"/>
  <c r="H18" i="4"/>
  <c r="A19" i="4"/>
  <c r="B19" i="4"/>
  <c r="C19" i="4"/>
  <c r="D19" i="4"/>
  <c r="E19" i="4"/>
  <c r="F19" i="4"/>
  <c r="G19" i="4"/>
  <c r="H19" i="4"/>
  <c r="A20" i="4"/>
  <c r="B20" i="4"/>
  <c r="C20" i="4"/>
  <c r="D20" i="4"/>
  <c r="E20" i="4"/>
  <c r="F20" i="4"/>
  <c r="G20" i="4"/>
  <c r="H20" i="4"/>
  <c r="A21" i="4"/>
  <c r="B21" i="4"/>
  <c r="C21" i="4"/>
  <c r="D21" i="4"/>
  <c r="E21" i="4"/>
  <c r="F21" i="4"/>
  <c r="G21" i="4"/>
  <c r="H21" i="4"/>
  <c r="A22" i="4"/>
  <c r="B22" i="4"/>
  <c r="C22" i="4"/>
  <c r="D22" i="4"/>
  <c r="E22" i="4"/>
  <c r="F22" i="4"/>
  <c r="G22" i="4"/>
  <c r="H22" i="4"/>
  <c r="A23" i="4"/>
  <c r="B23" i="4"/>
  <c r="C23" i="4"/>
  <c r="D23" i="4"/>
  <c r="E23" i="4"/>
  <c r="F23" i="4"/>
  <c r="H23" i="4"/>
  <c r="A24" i="4"/>
  <c r="B24" i="4"/>
  <c r="C24" i="4"/>
  <c r="D24" i="4"/>
  <c r="E24" i="4"/>
  <c r="F24" i="4"/>
  <c r="G24" i="4"/>
  <c r="H24" i="4"/>
  <c r="A25" i="4"/>
  <c r="B25" i="4"/>
  <c r="C25" i="4"/>
  <c r="D25" i="4"/>
  <c r="E25" i="4"/>
  <c r="F25" i="4"/>
  <c r="G25" i="4"/>
  <c r="H25" i="4"/>
  <c r="A26" i="4"/>
  <c r="B26" i="4"/>
  <c r="C26" i="4"/>
  <c r="D26" i="4"/>
  <c r="E26" i="4"/>
  <c r="F26" i="4"/>
  <c r="G26" i="4"/>
  <c r="H26" i="4"/>
  <c r="A27" i="4"/>
  <c r="B27" i="4"/>
  <c r="C27" i="4"/>
  <c r="D27" i="4"/>
  <c r="E27" i="4"/>
  <c r="F27" i="4"/>
  <c r="G27" i="4"/>
  <c r="H27" i="4"/>
  <c r="A28" i="4"/>
  <c r="B28" i="4"/>
  <c r="C28" i="4"/>
  <c r="D28" i="4"/>
  <c r="E28" i="4"/>
  <c r="F28" i="4"/>
  <c r="G28" i="4"/>
  <c r="H28" i="4"/>
  <c r="A29" i="4"/>
  <c r="B29" i="4"/>
  <c r="C29" i="4"/>
  <c r="D29" i="4"/>
  <c r="E29" i="4"/>
  <c r="F29" i="4"/>
  <c r="G29" i="4"/>
  <c r="H29" i="4"/>
  <c r="A30" i="4"/>
  <c r="B30" i="4"/>
  <c r="C30" i="4"/>
  <c r="D30" i="4"/>
  <c r="E30" i="4"/>
  <c r="F30" i="4"/>
  <c r="G30" i="4"/>
  <c r="H30" i="4"/>
  <c r="A31" i="4"/>
  <c r="B31" i="4"/>
  <c r="C31" i="4"/>
  <c r="D31" i="4"/>
  <c r="E31" i="4"/>
  <c r="F31" i="4"/>
  <c r="G31" i="4"/>
  <c r="H31" i="4"/>
  <c r="A32" i="4"/>
  <c r="B32" i="4"/>
  <c r="C32" i="4"/>
  <c r="D32" i="4"/>
  <c r="E32" i="4"/>
  <c r="F32" i="4"/>
  <c r="G32" i="4"/>
  <c r="H32" i="4"/>
  <c r="A33" i="4"/>
  <c r="B33" i="4"/>
  <c r="C33" i="4"/>
  <c r="D33" i="4"/>
  <c r="E33" i="4"/>
  <c r="F33" i="4"/>
  <c r="G33" i="4"/>
  <c r="H33" i="4"/>
  <c r="A34" i="4"/>
  <c r="B34" i="4"/>
  <c r="C34" i="4"/>
  <c r="D34" i="4"/>
  <c r="E34" i="4"/>
  <c r="F34" i="4"/>
  <c r="G34" i="4"/>
  <c r="H34" i="4"/>
  <c r="A35" i="4"/>
  <c r="B35" i="4"/>
  <c r="C35" i="4"/>
  <c r="D35" i="4"/>
  <c r="E35" i="4"/>
  <c r="F35" i="4"/>
  <c r="G35" i="4"/>
  <c r="H35" i="4"/>
  <c r="A36" i="4"/>
  <c r="B36" i="4"/>
  <c r="C36" i="4"/>
  <c r="D36" i="4"/>
  <c r="E36" i="4"/>
  <c r="F36" i="4"/>
  <c r="G36" i="4"/>
  <c r="H36" i="4"/>
  <c r="A37" i="4"/>
  <c r="B37" i="4"/>
  <c r="C37" i="4"/>
  <c r="D37" i="4"/>
  <c r="E37" i="4"/>
  <c r="F37" i="4"/>
  <c r="G37" i="4"/>
  <c r="H37" i="4"/>
  <c r="A38" i="4"/>
  <c r="B38" i="4"/>
  <c r="C38" i="4"/>
  <c r="D38" i="4"/>
  <c r="E38" i="4"/>
  <c r="F38" i="4"/>
  <c r="G38" i="4"/>
  <c r="H38" i="4"/>
  <c r="A39" i="4"/>
  <c r="B39" i="4"/>
  <c r="C39" i="4"/>
  <c r="D39" i="4"/>
  <c r="E39" i="4"/>
  <c r="F39" i="4"/>
  <c r="G39" i="4"/>
  <c r="H39" i="4"/>
  <c r="A40" i="4"/>
  <c r="B40" i="4"/>
  <c r="C40" i="4"/>
  <c r="D40" i="4"/>
  <c r="E40" i="4"/>
  <c r="F40" i="4"/>
  <c r="G40" i="4"/>
  <c r="H40" i="4"/>
  <c r="A41" i="4"/>
  <c r="B41" i="4"/>
  <c r="C41" i="4"/>
  <c r="D41" i="4"/>
  <c r="E41" i="4"/>
  <c r="F41" i="4"/>
  <c r="G41" i="4"/>
  <c r="H41" i="4"/>
  <c r="A42" i="4"/>
  <c r="B42" i="4"/>
  <c r="C42" i="4"/>
  <c r="D42" i="4"/>
  <c r="E42" i="4"/>
  <c r="F42" i="4"/>
  <c r="G42" i="4"/>
  <c r="H42" i="4"/>
  <c r="A43" i="4"/>
  <c r="B43" i="4"/>
  <c r="C43" i="4"/>
  <c r="D43" i="4"/>
  <c r="E43" i="4"/>
  <c r="F43" i="4"/>
  <c r="G43" i="4"/>
  <c r="H43" i="4"/>
  <c r="A44" i="4"/>
  <c r="B44" i="4"/>
  <c r="C44" i="4"/>
  <c r="D44" i="4"/>
  <c r="E44" i="4"/>
  <c r="F44" i="4"/>
  <c r="G44" i="4"/>
  <c r="H44" i="4"/>
  <c r="A45" i="4"/>
  <c r="B45" i="4"/>
  <c r="C45" i="4"/>
  <c r="D45" i="4"/>
  <c r="E45" i="4"/>
  <c r="F45" i="4"/>
  <c r="G45" i="4"/>
  <c r="H45" i="4"/>
  <c r="A46" i="4"/>
  <c r="B46" i="4"/>
  <c r="C46" i="4"/>
  <c r="D46" i="4"/>
  <c r="E46" i="4"/>
  <c r="F46" i="4"/>
  <c r="G46" i="4"/>
  <c r="H46" i="4"/>
  <c r="A47" i="4"/>
  <c r="B47" i="4"/>
  <c r="C47" i="4"/>
  <c r="D47" i="4"/>
  <c r="E47" i="4"/>
  <c r="F47" i="4"/>
  <c r="G47" i="4"/>
  <c r="H47" i="4"/>
  <c r="A48" i="4"/>
  <c r="B48" i="4"/>
  <c r="C48" i="4"/>
  <c r="D48" i="4"/>
  <c r="E48" i="4"/>
  <c r="F48" i="4"/>
  <c r="G48" i="4"/>
  <c r="H48" i="4"/>
  <c r="A49" i="4"/>
  <c r="B49" i="4"/>
  <c r="C49" i="4"/>
  <c r="D49" i="4"/>
  <c r="E49" i="4"/>
  <c r="F49" i="4"/>
  <c r="G49" i="4"/>
  <c r="H49" i="4"/>
  <c r="A50" i="4"/>
  <c r="B50" i="4"/>
  <c r="C50" i="4"/>
  <c r="D50" i="4"/>
  <c r="E50" i="4"/>
  <c r="F50" i="4"/>
  <c r="G50" i="4"/>
  <c r="H50" i="4"/>
  <c r="A51" i="4"/>
  <c r="B51" i="4"/>
  <c r="C51" i="4"/>
  <c r="D51" i="4"/>
  <c r="E51" i="4"/>
  <c r="F51" i="4"/>
  <c r="G51" i="4"/>
  <c r="H51" i="4"/>
  <c r="A52" i="4"/>
  <c r="B52" i="4"/>
  <c r="C52" i="4"/>
  <c r="D52" i="4"/>
  <c r="E52" i="4"/>
  <c r="F52" i="4"/>
  <c r="G52" i="4"/>
  <c r="H52" i="4"/>
  <c r="A53" i="4"/>
  <c r="B53" i="4"/>
  <c r="C53" i="4"/>
  <c r="D53" i="4"/>
  <c r="E53" i="4"/>
  <c r="F53" i="4"/>
  <c r="G53" i="4"/>
  <c r="H53" i="4"/>
  <c r="A54" i="4"/>
  <c r="B54" i="4"/>
  <c r="C54" i="4"/>
  <c r="D54" i="4"/>
  <c r="E54" i="4"/>
  <c r="F54" i="4"/>
  <c r="G54" i="4"/>
  <c r="H54" i="4"/>
  <c r="A55" i="4"/>
  <c r="B55" i="4"/>
  <c r="C55" i="4"/>
  <c r="D55" i="4"/>
  <c r="E55" i="4"/>
  <c r="F55" i="4"/>
  <c r="G55" i="4"/>
  <c r="H55" i="4"/>
  <c r="A56" i="4"/>
  <c r="B56" i="4"/>
  <c r="C56" i="4"/>
  <c r="D56" i="4"/>
  <c r="E56" i="4"/>
  <c r="F56" i="4"/>
  <c r="G56" i="4"/>
  <c r="H56" i="4"/>
  <c r="A57" i="4"/>
  <c r="B57" i="4"/>
  <c r="C57" i="4"/>
  <c r="D57" i="4"/>
  <c r="E57" i="4"/>
  <c r="F57" i="4"/>
  <c r="G57" i="4"/>
  <c r="H57" i="4"/>
  <c r="A58" i="4"/>
  <c r="B58" i="4"/>
  <c r="C58" i="4"/>
  <c r="D58" i="4"/>
  <c r="E58" i="4"/>
  <c r="F58" i="4"/>
  <c r="G58" i="4"/>
  <c r="H58" i="4"/>
  <c r="A59" i="4"/>
  <c r="B59" i="4"/>
  <c r="C59" i="4"/>
  <c r="D59" i="4"/>
  <c r="E59" i="4"/>
  <c r="F59" i="4"/>
  <c r="G59" i="4"/>
  <c r="H59" i="4"/>
  <c r="A4" i="2"/>
  <c r="B4" i="2"/>
  <c r="C4" i="2"/>
  <c r="D4" i="2"/>
  <c r="E4" i="2"/>
  <c r="F4" i="2"/>
  <c r="G4" i="2"/>
  <c r="H4" i="2"/>
  <c r="I4" i="2"/>
  <c r="J4" i="2"/>
  <c r="A5" i="2"/>
  <c r="B5" i="2"/>
  <c r="C5" i="2"/>
  <c r="D5" i="2"/>
  <c r="E5" i="2"/>
  <c r="F5" i="2"/>
  <c r="G5" i="2"/>
  <c r="H5" i="2"/>
  <c r="I5" i="2"/>
  <c r="J5" i="2"/>
  <c r="A6" i="2"/>
  <c r="B6" i="2"/>
  <c r="C6" i="2"/>
  <c r="D6" i="2"/>
  <c r="E6" i="2"/>
  <c r="F6" i="2"/>
  <c r="G6" i="2"/>
  <c r="H6" i="2"/>
  <c r="I6" i="2"/>
  <c r="J6" i="2"/>
  <c r="A7" i="2"/>
  <c r="B7" i="2"/>
  <c r="C7" i="2"/>
  <c r="D7" i="2"/>
  <c r="E7" i="2"/>
  <c r="F7" i="2"/>
  <c r="G7" i="2"/>
  <c r="H7" i="2"/>
  <c r="I7" i="2"/>
  <c r="J7" i="2"/>
  <c r="A8" i="2"/>
  <c r="B8" i="2"/>
  <c r="C8" i="2"/>
  <c r="D8" i="2"/>
  <c r="E8" i="2"/>
  <c r="F8" i="2"/>
  <c r="G8" i="2"/>
  <c r="H8" i="2"/>
  <c r="I8" i="2"/>
  <c r="J8" i="2"/>
  <c r="A9" i="2"/>
  <c r="B9" i="2"/>
  <c r="D9" i="2"/>
  <c r="E9" i="2"/>
  <c r="F9" i="2"/>
  <c r="G9" i="2"/>
  <c r="H9" i="2"/>
  <c r="I9" i="2"/>
  <c r="J9" i="2"/>
  <c r="A10" i="2"/>
  <c r="B10" i="2"/>
  <c r="C10" i="2"/>
  <c r="D10" i="2"/>
  <c r="E10" i="2"/>
  <c r="F10" i="2"/>
  <c r="G10" i="2"/>
  <c r="H10" i="2"/>
  <c r="I10" i="2"/>
  <c r="J10" i="2"/>
  <c r="A11" i="2"/>
  <c r="B11" i="2"/>
  <c r="D11" i="2"/>
  <c r="E11" i="2"/>
  <c r="F11" i="2"/>
  <c r="G11" i="2"/>
  <c r="H11" i="2"/>
  <c r="I11" i="2"/>
  <c r="J11" i="2"/>
  <c r="A12" i="2"/>
  <c r="B12" i="2"/>
  <c r="C12" i="2"/>
  <c r="D12" i="2"/>
  <c r="E12" i="2"/>
  <c r="F12" i="2"/>
  <c r="G12" i="2"/>
  <c r="H12" i="2"/>
  <c r="I12" i="2"/>
  <c r="J12" i="2"/>
  <c r="A13" i="2"/>
  <c r="B13" i="2"/>
  <c r="C13" i="2"/>
  <c r="D13" i="2"/>
  <c r="E13" i="2"/>
  <c r="F13" i="2"/>
  <c r="G13" i="2"/>
  <c r="H13" i="2"/>
  <c r="I13" i="2"/>
  <c r="J13" i="2"/>
  <c r="A14" i="2"/>
  <c r="B14" i="2"/>
  <c r="C14" i="2"/>
  <c r="D14" i="2"/>
  <c r="E14" i="2"/>
  <c r="F14" i="2"/>
  <c r="G14" i="2"/>
  <c r="H14" i="2"/>
  <c r="I14" i="2"/>
  <c r="J14" i="2"/>
  <c r="A15" i="2"/>
  <c r="B15" i="2"/>
  <c r="C15" i="2"/>
  <c r="D15" i="2"/>
  <c r="E15" i="2"/>
  <c r="F15" i="2"/>
  <c r="G15" i="2"/>
  <c r="H15" i="2"/>
  <c r="I15" i="2"/>
  <c r="J15" i="2"/>
  <c r="A16" i="2"/>
  <c r="B16" i="2"/>
  <c r="C16" i="2"/>
  <c r="D16" i="2"/>
  <c r="E16" i="2"/>
  <c r="F16" i="2"/>
  <c r="G16" i="2"/>
  <c r="H16" i="2"/>
  <c r="I16" i="2"/>
  <c r="J16" i="2"/>
  <c r="A17" i="2"/>
  <c r="B17" i="2"/>
  <c r="C17" i="2"/>
  <c r="D17" i="2"/>
  <c r="E17" i="2"/>
  <c r="F17" i="2"/>
  <c r="G17" i="2"/>
  <c r="H17" i="2"/>
  <c r="I17" i="2"/>
  <c r="J17" i="2"/>
  <c r="A18" i="2"/>
  <c r="B18" i="2"/>
  <c r="C18" i="2"/>
  <c r="D18" i="2"/>
  <c r="E18" i="2"/>
  <c r="F18" i="2"/>
  <c r="G18" i="2"/>
  <c r="H18" i="2"/>
  <c r="I18" i="2"/>
  <c r="J18" i="2"/>
  <c r="A19" i="2"/>
  <c r="B19" i="2"/>
  <c r="C19" i="2"/>
  <c r="D19" i="2"/>
  <c r="E19" i="2"/>
  <c r="F19" i="2"/>
  <c r="G19" i="2"/>
  <c r="H19" i="2"/>
  <c r="I19" i="2"/>
  <c r="J19" i="2"/>
  <c r="A20" i="2"/>
  <c r="B20" i="2"/>
  <c r="C20" i="2"/>
  <c r="D20" i="2"/>
  <c r="E20" i="2"/>
  <c r="F20" i="2"/>
  <c r="G20" i="2"/>
  <c r="H20" i="2"/>
  <c r="I20" i="2"/>
  <c r="J20" i="2"/>
  <c r="A21" i="2"/>
  <c r="B21" i="2"/>
  <c r="C21" i="2"/>
  <c r="D21" i="2"/>
  <c r="E21" i="2"/>
  <c r="F21" i="2"/>
  <c r="G21" i="2"/>
  <c r="H21" i="2"/>
  <c r="I21" i="2"/>
  <c r="J21" i="2"/>
  <c r="A22" i="2"/>
  <c r="B22" i="2"/>
  <c r="C22" i="2"/>
  <c r="D22" i="2"/>
  <c r="E22" i="2"/>
  <c r="F22" i="2"/>
  <c r="G22" i="2"/>
  <c r="H22" i="2"/>
  <c r="I22" i="2"/>
  <c r="J22" i="2"/>
  <c r="A23" i="2"/>
  <c r="B23" i="2"/>
  <c r="D23" i="2"/>
  <c r="E23" i="2"/>
  <c r="F23" i="2"/>
  <c r="G23" i="2"/>
  <c r="H23" i="2"/>
  <c r="I23" i="2"/>
  <c r="J23" i="2"/>
  <c r="A24" i="2"/>
  <c r="B24" i="2"/>
  <c r="C24" i="2"/>
  <c r="D24" i="2"/>
  <c r="E24" i="2"/>
  <c r="F24" i="2"/>
  <c r="G24" i="2"/>
  <c r="H24" i="2"/>
  <c r="I24" i="2"/>
  <c r="J24" i="2"/>
  <c r="A25" i="2"/>
  <c r="B25" i="2"/>
  <c r="C25" i="2"/>
  <c r="D25" i="2"/>
  <c r="E25" i="2"/>
  <c r="F25" i="2"/>
  <c r="G25" i="2"/>
  <c r="H25" i="2"/>
  <c r="I25" i="2"/>
  <c r="J25" i="2"/>
  <c r="Q25" i="1"/>
  <c r="Q13" i="1"/>
  <c r="Q11" i="1"/>
  <c r="Q5" i="1"/>
  <c r="G23" i="4"/>
  <c r="C23" i="2"/>
  <c r="F23" i="5"/>
  <c r="C11" i="2"/>
  <c r="F11" i="5"/>
  <c r="G11" i="4"/>
  <c r="G9" i="4"/>
  <c r="C9" i="2"/>
  <c r="F9" i="5"/>
  <c r="A60" i="4"/>
  <c r="B60" i="4"/>
  <c r="C60" i="4"/>
  <c r="D60" i="4"/>
  <c r="E60" i="4"/>
  <c r="F60" i="4"/>
  <c r="G60" i="4"/>
  <c r="H60" i="4"/>
  <c r="A61" i="4"/>
  <c r="B61" i="4"/>
  <c r="C61" i="4"/>
  <c r="D61" i="4"/>
  <c r="E61" i="4"/>
  <c r="F61" i="4"/>
  <c r="G61" i="4"/>
  <c r="H61" i="4"/>
  <c r="A62" i="4"/>
  <c r="B62" i="4"/>
  <c r="C62" i="4"/>
  <c r="D62" i="4"/>
  <c r="E62" i="4"/>
  <c r="F62" i="4"/>
  <c r="G62" i="4"/>
  <c r="H62" i="4"/>
  <c r="A63" i="4"/>
  <c r="B63" i="4"/>
  <c r="C63" i="4"/>
  <c r="D63" i="4"/>
  <c r="E63" i="4"/>
  <c r="F63" i="4"/>
  <c r="G63" i="4"/>
  <c r="H63" i="4"/>
  <c r="A64" i="4"/>
  <c r="B64" i="4"/>
  <c r="C64" i="4"/>
  <c r="D64" i="4"/>
  <c r="E64" i="4"/>
  <c r="F64" i="4"/>
  <c r="G64" i="4"/>
  <c r="H64" i="4"/>
  <c r="A65" i="4"/>
  <c r="B65" i="4"/>
  <c r="C65" i="4"/>
  <c r="D65" i="4"/>
  <c r="E65" i="4"/>
  <c r="F65" i="4"/>
  <c r="G65" i="4"/>
  <c r="H65" i="4"/>
  <c r="A66" i="4"/>
  <c r="B66" i="4"/>
  <c r="C66" i="4"/>
  <c r="D66" i="4"/>
  <c r="E66" i="4"/>
  <c r="F66" i="4"/>
  <c r="G66" i="4"/>
  <c r="H66" i="4"/>
  <c r="A67" i="4"/>
  <c r="B67" i="4"/>
  <c r="C67" i="4"/>
  <c r="D67" i="4"/>
  <c r="E67" i="4"/>
  <c r="F67" i="4"/>
  <c r="G67" i="4"/>
  <c r="H67" i="4"/>
  <c r="A68" i="4"/>
  <c r="B68" i="4"/>
  <c r="C68" i="4"/>
  <c r="D68" i="4"/>
  <c r="E68" i="4"/>
  <c r="F68" i="4"/>
  <c r="G68" i="4"/>
  <c r="H68" i="4"/>
  <c r="A69" i="4"/>
  <c r="B69" i="4"/>
  <c r="C69" i="4"/>
  <c r="D69" i="4"/>
  <c r="E69" i="4"/>
  <c r="F69" i="4"/>
  <c r="G69" i="4"/>
  <c r="H69" i="4"/>
  <c r="A70" i="4"/>
  <c r="B70" i="4"/>
  <c r="C70" i="4"/>
  <c r="D70" i="4"/>
  <c r="E70" i="4"/>
  <c r="F70" i="4"/>
  <c r="G70" i="4"/>
  <c r="H70" i="4"/>
  <c r="A71" i="4"/>
  <c r="B71" i="4"/>
  <c r="C71" i="4"/>
  <c r="D71" i="4"/>
  <c r="E71" i="4"/>
  <c r="F71" i="4"/>
  <c r="G71" i="4"/>
  <c r="H71" i="4"/>
  <c r="A72" i="4"/>
  <c r="B72" i="4"/>
  <c r="C72" i="4"/>
  <c r="D72" i="4"/>
  <c r="E72" i="4"/>
  <c r="F72" i="4"/>
  <c r="G72" i="4"/>
  <c r="H72" i="4"/>
  <c r="A73" i="4"/>
  <c r="B73" i="4"/>
  <c r="C73" i="4"/>
  <c r="D73" i="4"/>
  <c r="E73" i="4"/>
  <c r="F73" i="4"/>
  <c r="G73" i="4"/>
  <c r="H73" i="4"/>
  <c r="A74" i="4"/>
  <c r="B74" i="4"/>
  <c r="C74" i="4"/>
  <c r="D74" i="4"/>
  <c r="E74" i="4"/>
  <c r="F74" i="4"/>
  <c r="G74" i="4"/>
  <c r="H74" i="4"/>
  <c r="A75" i="4"/>
  <c r="B75" i="4"/>
  <c r="C75" i="4"/>
  <c r="D75" i="4"/>
  <c r="E75" i="4"/>
  <c r="F75" i="4"/>
  <c r="G75" i="4"/>
  <c r="H75" i="4"/>
  <c r="A76" i="4"/>
  <c r="B76" i="4"/>
  <c r="C76" i="4"/>
  <c r="D76" i="4"/>
  <c r="E76" i="4"/>
  <c r="F76" i="4"/>
  <c r="G76" i="4"/>
  <c r="H76" i="4"/>
  <c r="A77" i="4"/>
  <c r="B77" i="4"/>
  <c r="C77" i="4"/>
  <c r="D77" i="4"/>
  <c r="E77" i="4"/>
  <c r="F77" i="4"/>
  <c r="G77" i="4"/>
  <c r="H77" i="4"/>
  <c r="A78" i="4"/>
  <c r="B78" i="4"/>
  <c r="C78" i="4"/>
  <c r="D78" i="4"/>
  <c r="E78" i="4"/>
  <c r="F78" i="4"/>
  <c r="G78" i="4"/>
  <c r="H78" i="4"/>
  <c r="A79" i="4"/>
  <c r="B79" i="4"/>
  <c r="C79" i="4"/>
  <c r="D79" i="4"/>
  <c r="E79" i="4"/>
  <c r="F79" i="4"/>
  <c r="G79" i="4"/>
  <c r="H79" i="4"/>
  <c r="A80" i="4"/>
  <c r="B80" i="4"/>
  <c r="C80" i="4"/>
  <c r="D80" i="4"/>
  <c r="E80" i="4"/>
  <c r="F80" i="4"/>
  <c r="G80" i="4"/>
  <c r="H80" i="4"/>
  <c r="A81" i="4"/>
  <c r="B81" i="4"/>
  <c r="C81" i="4"/>
  <c r="D81" i="4"/>
  <c r="E81" i="4"/>
  <c r="F81" i="4"/>
  <c r="G81" i="4"/>
  <c r="H81" i="4"/>
  <c r="A82" i="4"/>
  <c r="B82" i="4"/>
  <c r="C82" i="4"/>
  <c r="D82" i="4"/>
  <c r="E82" i="4"/>
  <c r="F82" i="4"/>
  <c r="G82" i="4"/>
  <c r="H82" i="4"/>
  <c r="A83" i="4"/>
  <c r="B83" i="4"/>
  <c r="C83" i="4"/>
  <c r="D83" i="4"/>
  <c r="E83" i="4"/>
  <c r="F83" i="4"/>
  <c r="G83" i="4"/>
  <c r="H83" i="4"/>
  <c r="A84" i="4"/>
  <c r="B84" i="4"/>
  <c r="C84" i="4"/>
  <c r="D84" i="4"/>
  <c r="E84" i="4"/>
  <c r="F84" i="4"/>
  <c r="G84" i="4"/>
  <c r="H84" i="4"/>
  <c r="A85" i="4"/>
  <c r="B85" i="4"/>
  <c r="C85" i="4"/>
  <c r="D85" i="4"/>
  <c r="E85" i="4"/>
  <c r="F85" i="4"/>
  <c r="G85" i="4"/>
  <c r="H85" i="4"/>
  <c r="A86" i="4"/>
  <c r="B86" i="4"/>
  <c r="C86" i="4"/>
  <c r="D86" i="4"/>
  <c r="E86" i="4"/>
  <c r="F86" i="4"/>
  <c r="G86" i="4"/>
  <c r="H86" i="4"/>
  <c r="A87" i="4"/>
  <c r="B87" i="4"/>
  <c r="C87" i="4"/>
  <c r="D87" i="4"/>
  <c r="E87" i="4"/>
  <c r="F87" i="4"/>
  <c r="G87" i="4"/>
  <c r="H87" i="4"/>
  <c r="A88" i="4"/>
  <c r="B88" i="4"/>
  <c r="C88" i="4"/>
  <c r="D88" i="4"/>
  <c r="E88" i="4"/>
  <c r="F88" i="4"/>
  <c r="G88" i="4"/>
  <c r="H88" i="4"/>
  <c r="A89" i="4"/>
  <c r="B89" i="4"/>
  <c r="C89" i="4"/>
  <c r="D89" i="4"/>
  <c r="E89" i="4"/>
  <c r="F89" i="4"/>
  <c r="G89" i="4"/>
  <c r="H89" i="4"/>
  <c r="A90" i="4"/>
  <c r="B90" i="4"/>
  <c r="C90" i="4"/>
  <c r="D90" i="4"/>
  <c r="E90" i="4"/>
  <c r="F90" i="4"/>
  <c r="G90" i="4"/>
  <c r="H90" i="4"/>
  <c r="A91" i="4"/>
  <c r="B91" i="4"/>
  <c r="C91" i="4"/>
  <c r="D91" i="4"/>
  <c r="E91" i="4"/>
  <c r="F91" i="4"/>
  <c r="G91" i="4"/>
  <c r="H91" i="4"/>
  <c r="A92" i="4"/>
  <c r="B92" i="4"/>
  <c r="C92" i="4"/>
  <c r="D92" i="4"/>
  <c r="E92" i="4"/>
  <c r="F92" i="4"/>
  <c r="G92" i="4"/>
  <c r="H92" i="4"/>
  <c r="A93" i="4"/>
  <c r="B93" i="4"/>
  <c r="C93" i="4"/>
  <c r="D93" i="4"/>
  <c r="E93" i="4"/>
  <c r="F93" i="4"/>
  <c r="G93" i="4"/>
  <c r="H93" i="4"/>
  <c r="A94" i="4"/>
  <c r="B94" i="4"/>
  <c r="C94" i="4"/>
  <c r="D94" i="4"/>
  <c r="E94" i="4"/>
  <c r="F94" i="4"/>
  <c r="G94" i="4"/>
  <c r="H94" i="4"/>
  <c r="A95" i="4"/>
  <c r="B95" i="4"/>
  <c r="C95" i="4"/>
  <c r="D95" i="4"/>
  <c r="E95" i="4"/>
  <c r="F95" i="4"/>
  <c r="G95" i="4"/>
  <c r="H95" i="4"/>
  <c r="A96" i="4"/>
  <c r="B96" i="4"/>
  <c r="C96" i="4"/>
  <c r="D96" i="4"/>
  <c r="E96" i="4"/>
  <c r="F96" i="4"/>
  <c r="G96" i="4"/>
  <c r="H96" i="4"/>
  <c r="A97" i="4"/>
  <c r="B97" i="4"/>
  <c r="C97" i="4"/>
  <c r="D97" i="4"/>
  <c r="E97" i="4"/>
  <c r="F97" i="4"/>
  <c r="G97" i="4"/>
  <c r="H97" i="4"/>
  <c r="A98" i="4"/>
  <c r="B98" i="4"/>
  <c r="C98" i="4"/>
  <c r="D98" i="4"/>
  <c r="E98" i="4"/>
  <c r="F98" i="4"/>
  <c r="G98" i="4"/>
  <c r="H98" i="4"/>
  <c r="A99" i="4"/>
  <c r="B99" i="4"/>
  <c r="C99" i="4"/>
  <c r="D99" i="4"/>
  <c r="E99" i="4"/>
  <c r="F99" i="4"/>
  <c r="G99" i="4"/>
  <c r="H99" i="4"/>
  <c r="A100" i="4"/>
  <c r="B100" i="4"/>
  <c r="C100" i="4"/>
  <c r="D100" i="4"/>
  <c r="E100" i="4"/>
  <c r="F100" i="4"/>
  <c r="G100" i="4"/>
  <c r="H100" i="4"/>
  <c r="A101" i="4"/>
  <c r="B101" i="4"/>
  <c r="C101" i="4"/>
  <c r="D101" i="4"/>
  <c r="E101" i="4"/>
  <c r="F101" i="4"/>
  <c r="G101" i="4"/>
  <c r="H101" i="4"/>
  <c r="A102" i="4"/>
  <c r="B102" i="4"/>
  <c r="C102" i="4"/>
  <c r="D102" i="4"/>
  <c r="E102" i="4"/>
  <c r="F102" i="4"/>
  <c r="G102" i="4"/>
  <c r="H102" i="4"/>
  <c r="A103" i="4"/>
  <c r="B103" i="4"/>
  <c r="C103" i="4"/>
  <c r="D103" i="4"/>
  <c r="E103" i="4"/>
  <c r="F103" i="4"/>
  <c r="G103" i="4"/>
  <c r="H103" i="4"/>
  <c r="A104" i="4"/>
  <c r="B104" i="4"/>
  <c r="C104" i="4"/>
  <c r="D104" i="4"/>
  <c r="E104" i="4"/>
  <c r="F104" i="4"/>
  <c r="G104" i="4"/>
  <c r="H104" i="4"/>
  <c r="A105" i="4"/>
  <c r="B105" i="4"/>
  <c r="C105" i="4"/>
  <c r="D105" i="4"/>
  <c r="E105" i="4"/>
  <c r="F105" i="4"/>
  <c r="G105" i="4"/>
  <c r="H105" i="4"/>
  <c r="A106" i="4"/>
  <c r="B106" i="4"/>
  <c r="C106" i="4"/>
  <c r="D106" i="4"/>
  <c r="E106" i="4"/>
  <c r="F106" i="4"/>
  <c r="G106" i="4"/>
  <c r="H106" i="4"/>
  <c r="A107" i="4"/>
  <c r="B107" i="4"/>
  <c r="C107" i="4"/>
  <c r="D107" i="4"/>
  <c r="E107" i="4"/>
  <c r="F107" i="4"/>
  <c r="G107" i="4"/>
  <c r="H107" i="4"/>
  <c r="A108" i="4"/>
  <c r="B108" i="4"/>
  <c r="C108" i="4"/>
  <c r="D108" i="4"/>
  <c r="E108" i="4"/>
  <c r="F108" i="4"/>
  <c r="G108" i="4"/>
  <c r="H108" i="4"/>
  <c r="A109" i="4"/>
  <c r="B109" i="4"/>
  <c r="C109" i="4"/>
  <c r="D109" i="4"/>
  <c r="E109" i="4"/>
  <c r="F109" i="4"/>
  <c r="G109" i="4"/>
  <c r="H109" i="4"/>
  <c r="A110" i="4"/>
  <c r="B110" i="4"/>
  <c r="C110" i="4"/>
  <c r="D110" i="4"/>
  <c r="E110" i="4"/>
  <c r="F110" i="4"/>
  <c r="G110" i="4"/>
  <c r="H110" i="4"/>
  <c r="A111" i="4"/>
  <c r="B111" i="4"/>
  <c r="C111" i="4"/>
  <c r="D111" i="4"/>
  <c r="E111" i="4"/>
  <c r="F111" i="4"/>
  <c r="G111" i="4"/>
  <c r="H111" i="4"/>
  <c r="A112" i="4"/>
  <c r="B112" i="4"/>
  <c r="C112" i="4"/>
  <c r="D112" i="4"/>
  <c r="E112" i="4"/>
  <c r="F112" i="4"/>
  <c r="G112" i="4"/>
  <c r="H112" i="4"/>
  <c r="A113" i="4"/>
  <c r="B113" i="4"/>
  <c r="C113" i="4"/>
  <c r="D113" i="4"/>
  <c r="E113" i="4"/>
  <c r="F113" i="4"/>
  <c r="G113" i="4"/>
  <c r="H113" i="4"/>
  <c r="A114" i="4"/>
  <c r="B114" i="4"/>
  <c r="C114" i="4"/>
  <c r="D114" i="4"/>
  <c r="E114" i="4"/>
  <c r="F114" i="4"/>
  <c r="G114" i="4"/>
  <c r="H114" i="4"/>
  <c r="A115" i="4"/>
  <c r="B115" i="4"/>
  <c r="C115" i="4"/>
  <c r="D115" i="4"/>
  <c r="E115" i="4"/>
  <c r="F115" i="4"/>
  <c r="G115" i="4"/>
  <c r="H115" i="4"/>
  <c r="A116" i="4"/>
  <c r="B116" i="4"/>
  <c r="C116" i="4"/>
  <c r="D116" i="4"/>
  <c r="E116" i="4"/>
  <c r="F116" i="4"/>
  <c r="G116" i="4"/>
  <c r="H116" i="4"/>
  <c r="A117" i="4"/>
  <c r="B117" i="4"/>
  <c r="C117" i="4"/>
  <c r="D117" i="4"/>
  <c r="E117" i="4"/>
  <c r="F117" i="4"/>
  <c r="G117" i="4"/>
  <c r="H117" i="4"/>
  <c r="A118" i="4"/>
  <c r="B118" i="4"/>
  <c r="C118" i="4"/>
  <c r="D118" i="4"/>
  <c r="E118" i="4"/>
  <c r="F118" i="4"/>
  <c r="G118" i="4"/>
  <c r="H118" i="4"/>
  <c r="A119" i="4"/>
  <c r="B119" i="4"/>
  <c r="C119" i="4"/>
  <c r="D119" i="4"/>
  <c r="E119" i="4"/>
  <c r="F119" i="4"/>
  <c r="G119" i="4"/>
  <c r="H119" i="4"/>
  <c r="A120" i="4"/>
  <c r="B120" i="4"/>
  <c r="C120" i="4"/>
  <c r="D120" i="4"/>
  <c r="E120" i="4"/>
  <c r="F120" i="4"/>
  <c r="G120" i="4"/>
  <c r="H120" i="4"/>
  <c r="A121" i="4"/>
  <c r="B121" i="4"/>
  <c r="C121" i="4"/>
  <c r="D121" i="4"/>
  <c r="E121" i="4"/>
  <c r="F121" i="4"/>
  <c r="G121" i="4"/>
  <c r="H121" i="4"/>
  <c r="A122" i="4"/>
  <c r="B122" i="4"/>
  <c r="C122" i="4"/>
  <c r="D122" i="4"/>
  <c r="E122" i="4"/>
  <c r="F122" i="4"/>
  <c r="G122" i="4"/>
  <c r="H122" i="4"/>
  <c r="A123" i="4"/>
  <c r="B123" i="4"/>
  <c r="C123" i="4"/>
  <c r="D123" i="4"/>
  <c r="E123" i="4"/>
  <c r="F123" i="4"/>
  <c r="G123" i="4"/>
  <c r="H123" i="4"/>
  <c r="A124" i="4"/>
  <c r="B124" i="4"/>
  <c r="C124" i="4"/>
  <c r="D124" i="4"/>
  <c r="E124" i="4"/>
  <c r="F124" i="4"/>
  <c r="G124" i="4"/>
  <c r="H124" i="4"/>
  <c r="A125" i="4"/>
  <c r="B125" i="4"/>
  <c r="C125" i="4"/>
  <c r="D125" i="4"/>
  <c r="E125" i="4"/>
  <c r="F125" i="4"/>
  <c r="G125" i="4"/>
  <c r="H125" i="4"/>
  <c r="A126" i="4"/>
  <c r="B126" i="4"/>
  <c r="C126" i="4"/>
  <c r="D126" i="4"/>
  <c r="E126" i="4"/>
  <c r="F126" i="4"/>
  <c r="G126" i="4"/>
  <c r="H126" i="4"/>
  <c r="A127" i="4"/>
  <c r="B127" i="4"/>
  <c r="C127" i="4"/>
  <c r="D127" i="4"/>
  <c r="E127" i="4"/>
  <c r="F127" i="4"/>
  <c r="G127" i="4"/>
  <c r="H127" i="4"/>
  <c r="A128" i="4"/>
  <c r="B128" i="4"/>
  <c r="C128" i="4"/>
  <c r="D128" i="4"/>
  <c r="E128" i="4"/>
  <c r="F128" i="4"/>
  <c r="G128" i="4"/>
  <c r="H128" i="4"/>
  <c r="A129" i="4"/>
  <c r="B129" i="4"/>
  <c r="C129" i="4"/>
  <c r="D129" i="4"/>
  <c r="E129" i="4"/>
  <c r="F129" i="4"/>
  <c r="G129" i="4"/>
  <c r="H129" i="4"/>
  <c r="A130" i="4"/>
  <c r="B130" i="4"/>
  <c r="C130" i="4"/>
  <c r="D130" i="4"/>
  <c r="E130" i="4"/>
  <c r="F130" i="4"/>
  <c r="G130" i="4"/>
  <c r="H130" i="4"/>
  <c r="A131" i="4"/>
  <c r="B131" i="4"/>
  <c r="C131" i="4"/>
  <c r="D131" i="4"/>
  <c r="E131" i="4"/>
  <c r="F131" i="4"/>
  <c r="G131" i="4"/>
  <c r="H131" i="4"/>
  <c r="F3" i="3"/>
  <c r="E3" i="3"/>
  <c r="E3" i="4"/>
  <c r="D3" i="4"/>
  <c r="D3" i="2"/>
  <c r="E3" i="2"/>
  <c r="A71" i="5"/>
  <c r="B71" i="5"/>
  <c r="C71" i="5"/>
  <c r="D71" i="5"/>
  <c r="E71" i="5"/>
  <c r="F71" i="5"/>
  <c r="A72" i="5"/>
  <c r="B72" i="5"/>
  <c r="C72" i="5"/>
  <c r="D72" i="5"/>
  <c r="E72" i="5"/>
  <c r="F72" i="5"/>
  <c r="A73" i="5"/>
  <c r="B73" i="5"/>
  <c r="C73" i="5"/>
  <c r="D73" i="5"/>
  <c r="E73" i="5"/>
  <c r="F73" i="5"/>
  <c r="A74" i="5"/>
  <c r="B74" i="5"/>
  <c r="C74" i="5"/>
  <c r="D74" i="5"/>
  <c r="E74" i="5"/>
  <c r="F74" i="5"/>
  <c r="A75" i="5"/>
  <c r="B75" i="5"/>
  <c r="C75" i="5"/>
  <c r="D75" i="5"/>
  <c r="E75" i="5"/>
  <c r="F75" i="5"/>
  <c r="A76" i="5"/>
  <c r="B76" i="5"/>
  <c r="C76" i="5"/>
  <c r="D76" i="5"/>
  <c r="E76" i="5"/>
  <c r="F76" i="5"/>
  <c r="A77" i="5"/>
  <c r="B77" i="5"/>
  <c r="C77" i="5"/>
  <c r="D77" i="5"/>
  <c r="E77" i="5"/>
  <c r="F77" i="5"/>
  <c r="A78" i="5"/>
  <c r="B78" i="5"/>
  <c r="C78" i="5"/>
  <c r="D78" i="5"/>
  <c r="E78" i="5"/>
  <c r="F78" i="5"/>
  <c r="A79" i="5"/>
  <c r="B79" i="5"/>
  <c r="C79" i="5"/>
  <c r="D79" i="5"/>
  <c r="E79" i="5"/>
  <c r="F79" i="5"/>
  <c r="D3" i="5"/>
  <c r="C3" i="5"/>
  <c r="B3" i="5"/>
  <c r="A3" i="5"/>
  <c r="F3" i="5"/>
  <c r="E3" i="5"/>
  <c r="A3" i="2"/>
  <c r="B3" i="2"/>
  <c r="C3" i="2"/>
  <c r="F3" i="2"/>
  <c r="G3" i="2"/>
  <c r="H3" i="2"/>
  <c r="I3" i="2"/>
  <c r="J3" i="2"/>
  <c r="H3" i="4"/>
  <c r="F3" i="4"/>
  <c r="C3" i="4"/>
  <c r="B3" i="4"/>
  <c r="A3" i="4"/>
  <c r="D3" i="3"/>
  <c r="C3" i="3"/>
  <c r="B3" i="3"/>
  <c r="A3" i="3"/>
  <c r="G3" i="4"/>
</calcChain>
</file>

<file path=xl/sharedStrings.xml><?xml version="1.0" encoding="utf-8"?>
<sst xmlns="http://schemas.openxmlformats.org/spreadsheetml/2006/main" count="217" uniqueCount="122">
  <si>
    <t>BITACORA VENTA LOCAL</t>
  </si>
  <si>
    <t>VIVERO SONSONATE</t>
  </si>
  <si>
    <t>Trabajador</t>
  </si>
  <si>
    <t>Sembrar a campo/Sacar de campo</t>
  </si>
  <si>
    <t>Otras actividades</t>
  </si>
  <si>
    <t>PRODUCCION DE MERCADO LOCAL</t>
  </si>
  <si>
    <t>Código</t>
  </si>
  <si>
    <t xml:space="preserve">Cortar y sembrar Enraizador </t>
  </si>
  <si>
    <t>Presentación (Maceta, bolsa, etc)</t>
  </si>
  <si>
    <t>Producción: Nombre de la planta (Cantidad y tamaño)</t>
  </si>
  <si>
    <t>Origen de las plantas</t>
  </si>
  <si>
    <t>Siembra: Tiempo en horas</t>
  </si>
  <si>
    <t>Material utilizado</t>
  </si>
  <si>
    <t>Requisición</t>
  </si>
  <si>
    <t>Fecha</t>
  </si>
  <si>
    <t>Cantidad</t>
  </si>
  <si>
    <t>A campo: Lugar de siembra</t>
  </si>
  <si>
    <t>Cambio de presentación: Antigua presentación</t>
  </si>
  <si>
    <t>Cambio de presentación: Nueva Presentación</t>
  </si>
  <si>
    <t>Cortar Follaje</t>
  </si>
  <si>
    <t>Producción</t>
  </si>
  <si>
    <t>Siembra a Campo</t>
  </si>
  <si>
    <t>Cambio de Presentación</t>
  </si>
  <si>
    <t>Descargo de plantas</t>
  </si>
  <si>
    <t>Datos</t>
  </si>
  <si>
    <t>Código antiguo</t>
  </si>
  <si>
    <t>Día</t>
  </si>
  <si>
    <t>Nombre de la planta- Tamaño y cantidad</t>
  </si>
  <si>
    <t>DESCARGO DE MERCADO LOCAL</t>
  </si>
  <si>
    <t>Motivo de descargo</t>
  </si>
  <si>
    <t>CAMBIO DE PRESENTACION</t>
  </si>
  <si>
    <t>SEMBRADO A CAMPO</t>
  </si>
  <si>
    <t>AÑO:2025</t>
  </si>
  <si>
    <t>SUPERVISA: Douglas López</t>
  </si>
  <si>
    <t>PC#1</t>
  </si>
  <si>
    <t>Macetas</t>
  </si>
  <si>
    <t>MP#11</t>
  </si>
  <si>
    <t>Bolsas</t>
  </si>
  <si>
    <t>8*8</t>
  </si>
  <si>
    <t>9*12</t>
  </si>
  <si>
    <t>14*16</t>
  </si>
  <si>
    <t>MPJ#1</t>
  </si>
  <si>
    <t>14*23</t>
  </si>
  <si>
    <t>Saco</t>
  </si>
  <si>
    <t>Cantidad de sustrato</t>
  </si>
  <si>
    <t>Plato#3</t>
  </si>
  <si>
    <t>110 libras</t>
  </si>
  <si>
    <t>Decorativas</t>
  </si>
  <si>
    <t>CAPOSA S.A. DE C.V.                                                            Cantidades de sustrato por depositos</t>
  </si>
  <si>
    <t>No hubo</t>
  </si>
  <si>
    <t>ENCARGADO: Erick Cerrato-Douglas López</t>
  </si>
  <si>
    <t>Vivero 80%</t>
  </si>
  <si>
    <t>Schefflera mini malla circ 12 plantas de 12 pulgadas</t>
  </si>
  <si>
    <t>MP#6</t>
  </si>
  <si>
    <t>MP#4</t>
  </si>
  <si>
    <t>MP#5</t>
  </si>
  <si>
    <t>Vivero 60%</t>
  </si>
  <si>
    <t>No hay descargos</t>
  </si>
  <si>
    <t>Dracaena sanderiana golden trenzas de 4 plantas de 12 pulgadas</t>
  </si>
  <si>
    <t xml:space="preserve">Philodendro congo rojo a planta de 40 cm </t>
  </si>
  <si>
    <t xml:space="preserve">Potho 5 puntas de 6 pulgadas </t>
  </si>
  <si>
    <t>Pilon Maceta flora</t>
  </si>
  <si>
    <t>Queso suizo 5 plantas de 6 pulgadas</t>
  </si>
  <si>
    <t>Ficus brasil 3 plantas de 40 cm</t>
  </si>
  <si>
    <t>MP#3 Dec</t>
  </si>
  <si>
    <t>Dracaena sanderiana 4 tallos de 4 pulgadas</t>
  </si>
  <si>
    <t xml:space="preserve">Mp4 </t>
  </si>
  <si>
    <t>Sansiberiam</t>
  </si>
  <si>
    <t>pilon</t>
  </si>
  <si>
    <t>Arreglos combinados 7 plantas de 5 pulgadas</t>
  </si>
  <si>
    <t>Vivero 47%, Vivero 60% y Aralias con riego</t>
  </si>
  <si>
    <t>40 palmeras arecas de bolsa 9*12</t>
  </si>
  <si>
    <t>20 palmeras arecas MP#9</t>
  </si>
  <si>
    <t>Philodendro moonlight 3 puntas de 6 pulgadas</t>
  </si>
  <si>
    <t>Maceras</t>
  </si>
  <si>
    <t>Arreglo combinado 7 plantas de 10 pulgadas</t>
  </si>
  <si>
    <t>MP#1 dec</t>
  </si>
  <si>
    <t>Vivero 47%, 60%, 80% y aralias con riego</t>
  </si>
  <si>
    <t>Ficus lyriata 1 planta de 40 cm</t>
  </si>
  <si>
    <t>Potho neon 5 plantas de 6 pulgadas</t>
  </si>
  <si>
    <t>Canastas</t>
  </si>
  <si>
    <t>Dracaena sanderiana trenzas 4 plantas de 12 pulgadas</t>
  </si>
  <si>
    <t>25Ficus elastica MP#1 dec</t>
  </si>
  <si>
    <t>Vivero 60%, Mod 24</t>
  </si>
  <si>
    <t>PPMP11036</t>
  </si>
  <si>
    <t>PPCA01024</t>
  </si>
  <si>
    <t>PQCA01001</t>
  </si>
  <si>
    <t>PFMP03120</t>
  </si>
  <si>
    <t>PDMP04005</t>
  </si>
  <si>
    <t>PSMP61009</t>
  </si>
  <si>
    <t>PPCA01039</t>
  </si>
  <si>
    <t>Potho neon (limon) 5 plantas de 4 pulgadas</t>
  </si>
  <si>
    <t>PSMP03011</t>
  </si>
  <si>
    <t>PAMP04021</t>
  </si>
  <si>
    <t>PPBP04002</t>
  </si>
  <si>
    <t>PPMP09002</t>
  </si>
  <si>
    <t>PPMP06029</t>
  </si>
  <si>
    <t>PAMP01020</t>
  </si>
  <si>
    <t>PFMP11020</t>
  </si>
  <si>
    <t>Liliam-Fermin</t>
  </si>
  <si>
    <t>6 horas</t>
  </si>
  <si>
    <t>12 horas</t>
  </si>
  <si>
    <t>Liliam-Idalia-Lidia</t>
  </si>
  <si>
    <t>2 horas</t>
  </si>
  <si>
    <t>4 horas</t>
  </si>
  <si>
    <t>Lidia-Idalia-Lidia</t>
  </si>
  <si>
    <t>5 horas</t>
  </si>
  <si>
    <t>3 horas</t>
  </si>
  <si>
    <t>Misael</t>
  </si>
  <si>
    <t>Liliam-Idalia</t>
  </si>
  <si>
    <t>Alejandro</t>
  </si>
  <si>
    <t>14 horas</t>
  </si>
  <si>
    <t>Edwin</t>
  </si>
  <si>
    <t>8 horas</t>
  </si>
  <si>
    <t>Liliam-Idalia-Edwin</t>
  </si>
  <si>
    <t>16 horas</t>
  </si>
  <si>
    <t>1 hora</t>
  </si>
  <si>
    <t>Misael-Julio-Liliam-idalia</t>
  </si>
  <si>
    <t>Joel</t>
  </si>
  <si>
    <t>Joel-william- Julio</t>
  </si>
  <si>
    <t>MES: JULIO</t>
  </si>
  <si>
    <t>PDMP50006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</si>
</sst>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16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14" fontId="0" fillId="0" borderId="0" xfId="0" applyNumberFormat="1"/>
    <xf numFmtId="49" fontId="1" fillId="0" borderId="1" xfId="0" applyNumberFormat="1" applyFont="1" applyBorder="1" applyAlignment="1">
      <alignment wrapText="1"/>
    </xf>
    <xf numFmtId="49" fontId="0" fillId="0" borderId="0" xfId="0" applyNumberFormat="1"/>
    <xf numFmtId="14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zoomScale="95" zoomScaleNormal="95" workbookViewId="0">
      <pane xSplit="7" ySplit="4" topLeftCell="H21" activePane="bottomRight" state="frozen"/>
      <selection activeCell="A4" sqref="A4"/>
      <selection pane="bottomLeft" activeCell="A8" sqref="A8"/>
      <selection pane="topRight" activeCell="H4" sqref="H4"/>
      <selection pane="bottomRight" activeCell="M27" sqref="M27"/>
    </sheetView>
  </sheetViews>
  <sheetFormatPr defaultColWidth="11.43359375" defaultRowHeight="15" x14ac:dyDescent="0.2"/>
  <cols>
    <col min="1" max="1" width="6.1875" style="13" bestFit="1" customWidth="1"/>
    <col min="2" max="2" width="12.5078125" style="13" customWidth="1"/>
    <col min="3" max="3" width="6.72265625" style="13" bestFit="1" customWidth="1"/>
    <col min="4" max="4" width="12.9140625" style="13" bestFit="1" customWidth="1"/>
    <col min="5" max="5" width="16.0078125" style="13" bestFit="1" customWidth="1"/>
    <col min="6" max="6" width="27.84375" style="13" bestFit="1" customWidth="1"/>
    <col min="7" max="7" width="10.22265625" style="13" bestFit="1" customWidth="1"/>
    <col min="8" max="8" width="15.33203125" style="13" bestFit="1" customWidth="1"/>
    <col min="9" max="9" width="6.45703125" style="13" customWidth="1"/>
    <col min="10" max="10" width="8.7421875" style="13" bestFit="1" customWidth="1"/>
    <col min="11" max="11" width="15.46875" style="13" bestFit="1" customWidth="1"/>
    <col min="12" max="12" width="15.87109375" style="13" bestFit="1" customWidth="1"/>
    <col min="13" max="13" width="11.56640625" style="13" bestFit="1" customWidth="1"/>
    <col min="14" max="14" width="12.64453125" style="13" bestFit="1" customWidth="1"/>
    <col min="15" max="15" width="17.62109375" style="13" bestFit="1" customWidth="1"/>
    <col min="16" max="16" width="19.234375" style="13" bestFit="1" customWidth="1"/>
    <col min="17" max="17" width="11.56640625" style="13" bestFit="1" customWidth="1"/>
    <col min="18" max="18" width="11.296875" style="13" bestFit="1" customWidth="1"/>
    <col min="19" max="19" width="16.41015625" style="13" bestFit="1" customWidth="1"/>
    <col min="20" max="16384" width="11.43359375" style="13"/>
  </cols>
  <sheetData>
    <row r="1" spans="1:19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45" customHeight="1" x14ac:dyDescent="0.2">
      <c r="A2" s="22" t="s">
        <v>1</v>
      </c>
      <c r="B2" s="24"/>
      <c r="C2" s="23"/>
      <c r="D2" s="20" t="s">
        <v>50</v>
      </c>
      <c r="E2" s="20"/>
      <c r="F2" s="20"/>
      <c r="G2" s="21" t="s">
        <v>33</v>
      </c>
      <c r="H2" s="21"/>
      <c r="I2" s="21"/>
      <c r="J2" s="21"/>
      <c r="K2" s="21"/>
      <c r="L2" s="21"/>
      <c r="M2" s="21"/>
      <c r="N2" s="20" t="s">
        <v>120</v>
      </c>
      <c r="O2" s="20"/>
      <c r="P2" s="20"/>
      <c r="Q2" s="20" t="s">
        <v>32</v>
      </c>
      <c r="R2" s="20"/>
      <c r="S2" s="20"/>
    </row>
    <row r="3" spans="1:19" x14ac:dyDescent="0.2">
      <c r="A3" s="19" t="s">
        <v>24</v>
      </c>
      <c r="B3" s="19"/>
      <c r="C3" s="19"/>
      <c r="D3" s="22"/>
      <c r="E3" s="23"/>
      <c r="F3" s="19" t="s">
        <v>20</v>
      </c>
      <c r="G3" s="19"/>
      <c r="H3" s="19"/>
      <c r="I3" s="19"/>
      <c r="J3" s="19"/>
      <c r="K3" s="19" t="s">
        <v>21</v>
      </c>
      <c r="L3" s="19"/>
      <c r="M3" s="19" t="s">
        <v>22</v>
      </c>
      <c r="N3" s="19"/>
      <c r="O3" s="19"/>
      <c r="P3" s="12" t="s">
        <v>23</v>
      </c>
      <c r="Q3" s="19" t="s">
        <v>24</v>
      </c>
      <c r="R3" s="19"/>
      <c r="S3" s="19"/>
    </row>
    <row r="4" spans="1:19" ht="54.75" x14ac:dyDescent="0.2">
      <c r="A4" s="14" t="s">
        <v>14</v>
      </c>
      <c r="B4" s="14" t="s">
        <v>2</v>
      </c>
      <c r="C4" s="14" t="s">
        <v>15</v>
      </c>
      <c r="D4" s="1" t="s">
        <v>19</v>
      </c>
      <c r="E4" s="14" t="s">
        <v>7</v>
      </c>
      <c r="F4" s="14" t="s">
        <v>9</v>
      </c>
      <c r="G4" s="14" t="s">
        <v>8</v>
      </c>
      <c r="H4" s="14" t="s">
        <v>10</v>
      </c>
      <c r="I4" s="14" t="s">
        <v>12</v>
      </c>
      <c r="J4" s="14" t="s">
        <v>11</v>
      </c>
      <c r="K4" s="14" t="s">
        <v>3</v>
      </c>
      <c r="L4" s="14" t="s">
        <v>16</v>
      </c>
      <c r="M4" s="1" t="s">
        <v>25</v>
      </c>
      <c r="N4" s="14" t="s">
        <v>17</v>
      </c>
      <c r="O4" s="14" t="s">
        <v>18</v>
      </c>
      <c r="P4" s="14" t="s">
        <v>23</v>
      </c>
      <c r="Q4" s="14" t="s">
        <v>6</v>
      </c>
      <c r="R4" s="1" t="s">
        <v>13</v>
      </c>
      <c r="S4" s="14" t="s">
        <v>4</v>
      </c>
    </row>
    <row r="5" spans="1:19" ht="41.25" x14ac:dyDescent="0.2">
      <c r="A5" s="6">
        <v>45842</v>
      </c>
      <c r="B5" s="4" t="s">
        <v>99</v>
      </c>
      <c r="C5" s="4">
        <v>100</v>
      </c>
      <c r="D5" s="3"/>
      <c r="E5" s="3"/>
      <c r="F5" s="3" t="s">
        <v>58</v>
      </c>
      <c r="G5" s="3" t="s">
        <v>55</v>
      </c>
      <c r="H5" s="3" t="s">
        <v>56</v>
      </c>
      <c r="I5" s="3">
        <v>950</v>
      </c>
      <c r="J5" s="3" t="s">
        <v>100</v>
      </c>
      <c r="K5" s="3"/>
      <c r="L5" s="3"/>
      <c r="M5" s="18" t="s">
        <v>121</v>
      </c>
      <c r="O5" s="3"/>
      <c r="P5" s="3"/>
      <c r="Q5" s="18" t="str">
        <f>M5</f>
        <v>PDMP50006</v>
      </c>
      <c r="R5" s="3">
        <v>5557</v>
      </c>
      <c r="S5" s="3"/>
    </row>
    <row r="6" spans="1:19" ht="27.75" x14ac:dyDescent="0.2">
      <c r="A6" s="6">
        <v>45842</v>
      </c>
      <c r="B6" s="4" t="s">
        <v>99</v>
      </c>
      <c r="C6" s="4">
        <v>29</v>
      </c>
      <c r="D6" s="3"/>
      <c r="E6" s="3"/>
      <c r="F6" s="3" t="s">
        <v>59</v>
      </c>
      <c r="G6" s="3" t="s">
        <v>36</v>
      </c>
      <c r="H6" s="3" t="s">
        <v>35</v>
      </c>
      <c r="I6" s="3">
        <v>10480</v>
      </c>
      <c r="J6" s="3" t="s">
        <v>101</v>
      </c>
      <c r="K6" s="3"/>
      <c r="L6" s="3"/>
      <c r="M6" s="18" t="s">
        <v>84</v>
      </c>
      <c r="O6" s="3"/>
      <c r="P6" s="3"/>
      <c r="Q6" s="18" t="str">
        <f t="shared" ref="Q6:Q16" si="0">M6</f>
        <v>PPMP11036</v>
      </c>
      <c r="R6" s="3">
        <v>5557</v>
      </c>
      <c r="S6" s="3"/>
    </row>
    <row r="7" spans="1:19" ht="27.75" x14ac:dyDescent="0.2">
      <c r="A7" s="6">
        <v>45848</v>
      </c>
      <c r="B7" s="4" t="s">
        <v>102</v>
      </c>
      <c r="C7" s="3">
        <v>10</v>
      </c>
      <c r="D7" s="3"/>
      <c r="E7" s="3"/>
      <c r="F7" s="3" t="s">
        <v>60</v>
      </c>
      <c r="G7" s="3" t="s">
        <v>34</v>
      </c>
      <c r="H7" s="3" t="s">
        <v>61</v>
      </c>
      <c r="I7" s="3">
        <v>6000</v>
      </c>
      <c r="J7" s="3" t="s">
        <v>103</v>
      </c>
      <c r="K7" s="3"/>
      <c r="L7" s="3"/>
      <c r="M7" s="18" t="s">
        <v>85</v>
      </c>
      <c r="O7" s="3"/>
      <c r="P7" s="3"/>
      <c r="Q7" s="18" t="str">
        <f t="shared" si="0"/>
        <v>PPCA01024</v>
      </c>
      <c r="R7" s="3">
        <v>5560</v>
      </c>
      <c r="S7" s="3"/>
    </row>
    <row r="8" spans="1:19" ht="27.75" x14ac:dyDescent="0.2">
      <c r="A8" s="6">
        <v>45848</v>
      </c>
      <c r="B8" s="4" t="s">
        <v>102</v>
      </c>
      <c r="C8" s="3">
        <v>25</v>
      </c>
      <c r="D8" s="3"/>
      <c r="E8" s="3"/>
      <c r="F8" s="3" t="s">
        <v>62</v>
      </c>
      <c r="G8" s="3" t="s">
        <v>34</v>
      </c>
      <c r="H8" s="3" t="s">
        <v>61</v>
      </c>
      <c r="I8" s="3">
        <v>6000</v>
      </c>
      <c r="J8" s="3" t="s">
        <v>104</v>
      </c>
      <c r="K8" s="3"/>
      <c r="L8" s="3"/>
      <c r="M8" s="18" t="s">
        <v>86</v>
      </c>
      <c r="N8" s="3"/>
      <c r="O8" s="3"/>
      <c r="P8" s="3"/>
      <c r="Q8" s="18" t="str">
        <f t="shared" si="0"/>
        <v>PQCA01001</v>
      </c>
      <c r="R8" s="3">
        <v>5560</v>
      </c>
      <c r="S8" s="3"/>
    </row>
    <row r="9" spans="1:19" ht="27.75" x14ac:dyDescent="0.2">
      <c r="A9" s="6">
        <v>45848</v>
      </c>
      <c r="B9" s="4" t="s">
        <v>102</v>
      </c>
      <c r="C9" s="3">
        <v>29</v>
      </c>
      <c r="D9" s="3"/>
      <c r="E9" s="3"/>
      <c r="F9" s="3" t="s">
        <v>63</v>
      </c>
      <c r="G9" s="3" t="s">
        <v>64</v>
      </c>
      <c r="H9" s="3" t="s">
        <v>56</v>
      </c>
      <c r="I9" s="3">
        <v>11300</v>
      </c>
      <c r="J9" s="3" t="s">
        <v>104</v>
      </c>
      <c r="K9" s="3"/>
      <c r="L9" s="3"/>
      <c r="M9" s="18" t="s">
        <v>87</v>
      </c>
      <c r="N9" s="3"/>
      <c r="O9" s="3"/>
      <c r="P9" s="3"/>
      <c r="Q9" s="18" t="str">
        <f t="shared" si="0"/>
        <v>PFMP03120</v>
      </c>
      <c r="R9" s="3">
        <v>5560</v>
      </c>
      <c r="S9" s="3"/>
    </row>
    <row r="10" spans="1:19" ht="27.75" x14ac:dyDescent="0.2">
      <c r="A10" s="6">
        <v>45852</v>
      </c>
      <c r="B10" s="4" t="s">
        <v>105</v>
      </c>
      <c r="C10" s="3">
        <v>55</v>
      </c>
      <c r="D10" s="3"/>
      <c r="E10" s="3"/>
      <c r="F10" s="3" t="s">
        <v>65</v>
      </c>
      <c r="G10" s="3" t="s">
        <v>66</v>
      </c>
      <c r="H10" s="3" t="s">
        <v>56</v>
      </c>
      <c r="I10" s="3">
        <v>400</v>
      </c>
      <c r="J10" s="3" t="s">
        <v>106</v>
      </c>
      <c r="K10" s="3"/>
      <c r="L10" s="3"/>
      <c r="M10" s="18" t="s">
        <v>88</v>
      </c>
      <c r="N10" s="3"/>
      <c r="O10" s="3"/>
      <c r="P10" s="3"/>
      <c r="Q10" s="18" t="str">
        <f t="shared" si="0"/>
        <v>PDMP04005</v>
      </c>
      <c r="R10" s="3">
        <v>5563</v>
      </c>
      <c r="S10" s="3"/>
    </row>
    <row r="11" spans="1:19" ht="41.25" x14ac:dyDescent="0.2">
      <c r="A11" s="6">
        <v>45852</v>
      </c>
      <c r="B11" s="4" t="s">
        <v>105</v>
      </c>
      <c r="C11" s="3">
        <v>75</v>
      </c>
      <c r="D11" s="3"/>
      <c r="E11" s="3"/>
      <c r="F11" s="3" t="s">
        <v>58</v>
      </c>
      <c r="G11" s="3" t="s">
        <v>55</v>
      </c>
      <c r="H11" s="3" t="s">
        <v>56</v>
      </c>
      <c r="I11" s="3">
        <v>950</v>
      </c>
      <c r="J11" s="3" t="s">
        <v>106</v>
      </c>
      <c r="K11" s="3"/>
      <c r="L11" s="3"/>
      <c r="M11" s="18" t="s">
        <v>121</v>
      </c>
      <c r="N11" s="3"/>
      <c r="O11" s="3"/>
      <c r="P11" s="3"/>
      <c r="Q11" s="18" t="str">
        <f t="shared" si="0"/>
        <v>PDMP50006</v>
      </c>
      <c r="R11" s="3">
        <v>5563</v>
      </c>
      <c r="S11" s="3"/>
    </row>
    <row r="12" spans="1:19" ht="27.75" x14ac:dyDescent="0.2">
      <c r="A12" s="6">
        <v>45852</v>
      </c>
      <c r="B12" s="4" t="s">
        <v>105</v>
      </c>
      <c r="C12" s="3">
        <v>46</v>
      </c>
      <c r="D12" s="3"/>
      <c r="E12" s="3"/>
      <c r="F12" s="3" t="s">
        <v>52</v>
      </c>
      <c r="G12" s="3" t="s">
        <v>53</v>
      </c>
      <c r="H12" s="13" t="s">
        <v>51</v>
      </c>
      <c r="I12" s="3">
        <v>1230</v>
      </c>
      <c r="J12" s="3" t="s">
        <v>107</v>
      </c>
      <c r="K12" s="3"/>
      <c r="L12" s="3"/>
      <c r="M12" s="18" t="s">
        <v>89</v>
      </c>
      <c r="N12" s="3"/>
      <c r="O12" s="3"/>
      <c r="P12" s="3"/>
      <c r="Q12" s="18" t="str">
        <f t="shared" si="0"/>
        <v>PSMP61009</v>
      </c>
      <c r="R12" s="3">
        <v>5563</v>
      </c>
      <c r="S12" s="3"/>
    </row>
    <row r="13" spans="1:19" ht="41.25" x14ac:dyDescent="0.2">
      <c r="A13" s="6">
        <v>45853</v>
      </c>
      <c r="B13" s="4" t="s">
        <v>105</v>
      </c>
      <c r="C13" s="3">
        <v>141</v>
      </c>
      <c r="D13" s="3"/>
      <c r="E13" s="3"/>
      <c r="F13" s="3" t="s">
        <v>58</v>
      </c>
      <c r="G13" s="3" t="s">
        <v>55</v>
      </c>
      <c r="H13" s="3" t="s">
        <v>56</v>
      </c>
      <c r="I13" s="3">
        <v>950</v>
      </c>
      <c r="J13" s="3" t="s">
        <v>101</v>
      </c>
      <c r="K13" s="3"/>
      <c r="L13" s="3"/>
      <c r="M13" s="18" t="s">
        <v>121</v>
      </c>
      <c r="N13" s="3"/>
      <c r="O13" s="3"/>
      <c r="P13" s="3"/>
      <c r="Q13" s="18" t="str">
        <f t="shared" si="0"/>
        <v>PDMP50006</v>
      </c>
      <c r="R13" s="3">
        <v>5564</v>
      </c>
      <c r="S13" s="3"/>
    </row>
    <row r="14" spans="1:19" ht="27.75" x14ac:dyDescent="0.2">
      <c r="A14" s="6">
        <v>45854</v>
      </c>
      <c r="B14" s="4" t="s">
        <v>108</v>
      </c>
      <c r="C14" s="3">
        <v>20</v>
      </c>
      <c r="D14" s="3"/>
      <c r="E14" s="3"/>
      <c r="F14" s="3" t="s">
        <v>91</v>
      </c>
      <c r="G14" s="3" t="s">
        <v>34</v>
      </c>
      <c r="H14" s="3" t="s">
        <v>61</v>
      </c>
      <c r="I14" s="3">
        <v>6000</v>
      </c>
      <c r="J14" s="3" t="s">
        <v>104</v>
      </c>
      <c r="K14" s="3"/>
      <c r="L14" s="3"/>
      <c r="M14" s="18" t="s">
        <v>90</v>
      </c>
      <c r="N14" s="3"/>
      <c r="O14" s="3"/>
      <c r="P14" s="3"/>
      <c r="Q14" s="18" t="str">
        <f t="shared" si="0"/>
        <v>PPCA01039</v>
      </c>
      <c r="R14" s="3">
        <v>5565</v>
      </c>
      <c r="S14" s="3"/>
    </row>
    <row r="15" spans="1:19" x14ac:dyDescent="0.2">
      <c r="A15" s="6">
        <v>45854</v>
      </c>
      <c r="B15" s="4" t="s">
        <v>108</v>
      </c>
      <c r="C15" s="3">
        <v>11</v>
      </c>
      <c r="D15" s="3"/>
      <c r="E15" s="3"/>
      <c r="F15" s="3" t="s">
        <v>67</v>
      </c>
      <c r="G15" s="3" t="s">
        <v>64</v>
      </c>
      <c r="H15" s="13" t="s">
        <v>68</v>
      </c>
      <c r="I15" s="3">
        <v>11300</v>
      </c>
      <c r="J15" s="3" t="s">
        <v>103</v>
      </c>
      <c r="K15" s="3"/>
      <c r="L15" s="3"/>
      <c r="M15" s="18" t="s">
        <v>92</v>
      </c>
      <c r="N15" s="3"/>
      <c r="O15" s="3"/>
      <c r="P15" s="3"/>
      <c r="Q15" s="18" t="str">
        <f t="shared" si="0"/>
        <v>PSMP03011</v>
      </c>
      <c r="R15" s="3">
        <v>5565</v>
      </c>
      <c r="S15" s="3"/>
    </row>
    <row r="16" spans="1:19" ht="41.25" x14ac:dyDescent="0.2">
      <c r="A16" s="6">
        <v>45854</v>
      </c>
      <c r="B16" s="4" t="s">
        <v>108</v>
      </c>
      <c r="C16" s="3">
        <v>10</v>
      </c>
      <c r="D16" s="3"/>
      <c r="E16" s="3"/>
      <c r="F16" s="3" t="s">
        <v>69</v>
      </c>
      <c r="G16" s="3" t="s">
        <v>54</v>
      </c>
      <c r="H16" s="3" t="s">
        <v>70</v>
      </c>
      <c r="I16" s="3">
        <v>15600</v>
      </c>
      <c r="J16" s="3" t="s">
        <v>103</v>
      </c>
      <c r="K16" s="3"/>
      <c r="L16" s="3"/>
      <c r="M16" s="18" t="s">
        <v>93</v>
      </c>
      <c r="N16" s="3"/>
      <c r="O16" s="3"/>
      <c r="P16" s="3"/>
      <c r="Q16" s="18" t="str">
        <f t="shared" si="0"/>
        <v>PAMP04021</v>
      </c>
      <c r="R16" s="3">
        <v>5565</v>
      </c>
      <c r="S16" s="3"/>
    </row>
    <row r="17" spans="1:19" ht="41.25" x14ac:dyDescent="0.2">
      <c r="A17" s="6">
        <v>45855</v>
      </c>
      <c r="B17" s="4" t="s">
        <v>109</v>
      </c>
      <c r="C17" s="3">
        <v>20</v>
      </c>
      <c r="D17" s="3"/>
      <c r="E17" s="3"/>
      <c r="F17" s="3"/>
      <c r="G17" s="3"/>
      <c r="H17" s="3"/>
      <c r="I17" s="3"/>
      <c r="J17" s="3" t="s">
        <v>111</v>
      </c>
      <c r="K17" s="3"/>
      <c r="L17" s="3"/>
      <c r="M17" s="18" t="s">
        <v>94</v>
      </c>
      <c r="N17" s="3" t="s">
        <v>71</v>
      </c>
      <c r="O17" s="3" t="s">
        <v>72</v>
      </c>
      <c r="P17" s="3"/>
      <c r="Q17" s="18" t="s">
        <v>95</v>
      </c>
      <c r="R17" s="3">
        <v>5566</v>
      </c>
      <c r="S17" s="3"/>
    </row>
    <row r="18" spans="1:19" ht="27.75" x14ac:dyDescent="0.2">
      <c r="A18" s="6">
        <v>45855</v>
      </c>
      <c r="B18" s="4" t="s">
        <v>109</v>
      </c>
      <c r="C18" s="3">
        <v>10</v>
      </c>
      <c r="D18" s="3"/>
      <c r="E18" s="3"/>
      <c r="F18" s="3" t="s">
        <v>73</v>
      </c>
      <c r="G18" s="3" t="s">
        <v>53</v>
      </c>
      <c r="H18" s="3" t="s">
        <v>74</v>
      </c>
      <c r="I18" s="3">
        <v>1230</v>
      </c>
      <c r="J18" s="3" t="s">
        <v>103</v>
      </c>
      <c r="K18" s="3"/>
      <c r="L18" s="3"/>
      <c r="M18" s="18" t="s">
        <v>96</v>
      </c>
      <c r="N18" s="3"/>
      <c r="O18" s="3"/>
      <c r="P18" s="3"/>
      <c r="Q18" s="18" t="str">
        <f t="shared" ref="Q18:Q27" si="1">M18</f>
        <v>PPMP06029</v>
      </c>
      <c r="R18" s="3">
        <v>5566</v>
      </c>
      <c r="S18" s="3"/>
    </row>
    <row r="19" spans="1:19" ht="41.25" x14ac:dyDescent="0.2">
      <c r="A19" s="6">
        <v>45855</v>
      </c>
      <c r="B19" s="4" t="s">
        <v>110</v>
      </c>
      <c r="C19" s="3">
        <v>30</v>
      </c>
      <c r="D19" s="3"/>
      <c r="E19" s="3"/>
      <c r="F19" s="3" t="s">
        <v>75</v>
      </c>
      <c r="G19" s="3" t="s">
        <v>76</v>
      </c>
      <c r="H19" s="3" t="s">
        <v>77</v>
      </c>
      <c r="I19" s="3">
        <v>5000</v>
      </c>
      <c r="J19" s="3" t="s">
        <v>100</v>
      </c>
      <c r="K19" s="3"/>
      <c r="L19" s="3"/>
      <c r="M19" s="18" t="s">
        <v>97</v>
      </c>
      <c r="N19" s="3"/>
      <c r="O19" s="3"/>
      <c r="P19" s="3"/>
      <c r="Q19" s="18" t="str">
        <f t="shared" si="1"/>
        <v>PAMP01020</v>
      </c>
      <c r="R19" s="3">
        <v>5566</v>
      </c>
      <c r="S19" s="3"/>
    </row>
    <row r="20" spans="1:19" x14ac:dyDescent="0.2">
      <c r="A20" s="6">
        <v>45861</v>
      </c>
      <c r="B20" s="4" t="s">
        <v>112</v>
      </c>
      <c r="C20" s="3">
        <v>30</v>
      </c>
      <c r="D20" s="3"/>
      <c r="E20" s="3"/>
      <c r="F20" s="3" t="s">
        <v>78</v>
      </c>
      <c r="G20" s="3" t="s">
        <v>36</v>
      </c>
      <c r="H20" s="3" t="s">
        <v>56</v>
      </c>
      <c r="I20" s="3">
        <v>10480</v>
      </c>
      <c r="J20" s="3" t="s">
        <v>113</v>
      </c>
      <c r="K20" s="3"/>
      <c r="L20" s="3"/>
      <c r="M20" s="18" t="s">
        <v>98</v>
      </c>
      <c r="N20" s="3"/>
      <c r="O20" s="3"/>
      <c r="P20" s="3"/>
      <c r="Q20" s="18" t="str">
        <f t="shared" si="1"/>
        <v>PFMP11020</v>
      </c>
      <c r="R20" s="3">
        <v>6569</v>
      </c>
      <c r="S20" s="3"/>
    </row>
    <row r="21" spans="1:19" ht="41.25" x14ac:dyDescent="0.2">
      <c r="A21" s="6">
        <v>45862</v>
      </c>
      <c r="B21" s="4" t="s">
        <v>114</v>
      </c>
      <c r="C21" s="3">
        <v>69</v>
      </c>
      <c r="D21" s="3"/>
      <c r="E21" s="3"/>
      <c r="F21" s="3" t="s">
        <v>75</v>
      </c>
      <c r="G21" s="3" t="s">
        <v>76</v>
      </c>
      <c r="H21" s="3" t="s">
        <v>77</v>
      </c>
      <c r="I21" s="3">
        <v>5000</v>
      </c>
      <c r="J21" s="3" t="s">
        <v>115</v>
      </c>
      <c r="K21" s="3"/>
      <c r="L21" s="3"/>
      <c r="M21" s="18" t="s">
        <v>97</v>
      </c>
      <c r="N21" s="3"/>
      <c r="O21" s="3"/>
      <c r="P21" s="3"/>
      <c r="Q21" s="18" t="str">
        <f t="shared" si="1"/>
        <v>PAMP01020</v>
      </c>
      <c r="R21" s="3">
        <v>5570</v>
      </c>
      <c r="S21" s="3"/>
    </row>
    <row r="22" spans="1:19" ht="27.75" x14ac:dyDescent="0.2">
      <c r="A22" s="6">
        <v>45862</v>
      </c>
      <c r="B22" s="4" t="s">
        <v>114</v>
      </c>
      <c r="C22" s="3">
        <v>3</v>
      </c>
      <c r="D22" s="3"/>
      <c r="E22" s="3"/>
      <c r="F22" s="3" t="s">
        <v>78</v>
      </c>
      <c r="G22" s="3" t="s">
        <v>36</v>
      </c>
      <c r="H22" s="3" t="s">
        <v>56</v>
      </c>
      <c r="I22" s="3">
        <v>10480</v>
      </c>
      <c r="J22" s="3" t="s">
        <v>116</v>
      </c>
      <c r="K22" s="3"/>
      <c r="L22" s="3"/>
      <c r="M22" s="18" t="s">
        <v>98</v>
      </c>
      <c r="N22" s="3"/>
      <c r="O22" s="3"/>
      <c r="P22" s="3"/>
      <c r="Q22" s="18" t="str">
        <f t="shared" si="1"/>
        <v>PFMP11020</v>
      </c>
      <c r="R22" s="3">
        <v>5570</v>
      </c>
      <c r="S22" s="3"/>
    </row>
    <row r="23" spans="1:19" ht="27.75" x14ac:dyDescent="0.2">
      <c r="A23" s="6">
        <v>45866</v>
      </c>
      <c r="B23" s="4" t="s">
        <v>117</v>
      </c>
      <c r="C23" s="3">
        <v>15</v>
      </c>
      <c r="D23" s="3"/>
      <c r="E23" s="3"/>
      <c r="F23" s="3" t="s">
        <v>62</v>
      </c>
      <c r="G23" s="3" t="s">
        <v>34</v>
      </c>
      <c r="H23" s="3" t="s">
        <v>51</v>
      </c>
      <c r="I23" s="3">
        <v>6000</v>
      </c>
      <c r="J23" s="3" t="s">
        <v>107</v>
      </c>
      <c r="K23" s="3"/>
      <c r="L23" s="3"/>
      <c r="M23" s="18" t="s">
        <v>86</v>
      </c>
      <c r="N23" s="3"/>
      <c r="O23" s="3"/>
      <c r="P23" s="3"/>
      <c r="Q23" s="18" t="str">
        <f t="shared" si="1"/>
        <v>PQCA01001</v>
      </c>
      <c r="R23" s="3">
        <v>5572</v>
      </c>
      <c r="S23" s="3"/>
    </row>
    <row r="24" spans="1:19" ht="27.75" x14ac:dyDescent="0.2">
      <c r="A24" s="6">
        <v>45866</v>
      </c>
      <c r="B24" s="4" t="s">
        <v>117</v>
      </c>
      <c r="C24" s="3">
        <v>13</v>
      </c>
      <c r="D24" s="3"/>
      <c r="E24" s="3"/>
      <c r="F24" s="3" t="s">
        <v>79</v>
      </c>
      <c r="G24" s="3" t="s">
        <v>34</v>
      </c>
      <c r="H24" s="3" t="s">
        <v>80</v>
      </c>
      <c r="I24" s="3">
        <v>6000</v>
      </c>
      <c r="J24" s="3" t="s">
        <v>107</v>
      </c>
      <c r="K24" s="3"/>
      <c r="L24" s="3"/>
      <c r="M24" s="18" t="s">
        <v>90</v>
      </c>
      <c r="N24" s="3"/>
      <c r="O24" s="3"/>
      <c r="P24" s="3"/>
      <c r="Q24" s="18" t="str">
        <f t="shared" si="1"/>
        <v>PPCA01039</v>
      </c>
      <c r="R24" s="3">
        <v>5572</v>
      </c>
      <c r="S24" s="3"/>
    </row>
    <row r="25" spans="1:19" ht="27.75" x14ac:dyDescent="0.2">
      <c r="A25" s="6">
        <v>45867</v>
      </c>
      <c r="B25" s="4" t="s">
        <v>118</v>
      </c>
      <c r="C25" s="3">
        <v>100</v>
      </c>
      <c r="D25" s="3"/>
      <c r="E25" s="3"/>
      <c r="F25" s="3" t="s">
        <v>81</v>
      </c>
      <c r="G25" s="3" t="s">
        <v>55</v>
      </c>
      <c r="H25" s="3" t="s">
        <v>51</v>
      </c>
      <c r="I25" s="3">
        <v>950</v>
      </c>
      <c r="J25" s="3" t="s">
        <v>100</v>
      </c>
      <c r="K25" s="3"/>
      <c r="L25" s="3"/>
      <c r="M25" s="18" t="s">
        <v>121</v>
      </c>
      <c r="N25" s="3"/>
      <c r="O25" s="3"/>
      <c r="P25" s="3"/>
      <c r="Q25" s="18" t="str">
        <f t="shared" si="1"/>
        <v>PDMP50006</v>
      </c>
      <c r="R25" s="3">
        <v>5573</v>
      </c>
      <c r="S25" s="3"/>
    </row>
    <row r="26" spans="1:19" ht="27.75" x14ac:dyDescent="0.2">
      <c r="A26" s="6">
        <v>45869</v>
      </c>
      <c r="B26" s="3" t="s">
        <v>119</v>
      </c>
      <c r="C26" s="3">
        <v>125</v>
      </c>
      <c r="D26" s="3"/>
      <c r="E26" s="3"/>
      <c r="F26" s="3" t="s">
        <v>73</v>
      </c>
      <c r="G26" s="3" t="s">
        <v>53</v>
      </c>
      <c r="H26" s="3" t="s">
        <v>74</v>
      </c>
      <c r="I26" s="3">
        <v>1230</v>
      </c>
      <c r="J26" s="3" t="s">
        <v>113</v>
      </c>
      <c r="K26" s="3"/>
      <c r="L26" s="3"/>
      <c r="M26" s="18" t="s">
        <v>96</v>
      </c>
      <c r="N26" s="3"/>
      <c r="O26" s="3"/>
      <c r="P26" s="3"/>
      <c r="Q26" s="18" t="str">
        <f t="shared" si="1"/>
        <v>PPMP06029</v>
      </c>
      <c r="R26" s="3">
        <v>5574</v>
      </c>
      <c r="S26" s="3"/>
    </row>
    <row r="27" spans="1:19" ht="27.75" x14ac:dyDescent="0.2">
      <c r="A27" s="6">
        <v>45869</v>
      </c>
      <c r="B27" s="3" t="s">
        <v>119</v>
      </c>
      <c r="C27" s="3">
        <v>25</v>
      </c>
      <c r="D27" s="3"/>
      <c r="E27" s="3"/>
      <c r="F27" s="3"/>
      <c r="G27" s="3"/>
      <c r="H27" s="3"/>
      <c r="I27" s="3"/>
      <c r="J27" s="3"/>
      <c r="K27" s="3" t="s">
        <v>82</v>
      </c>
      <c r="L27" s="3" t="s">
        <v>83</v>
      </c>
      <c r="M27" s="18"/>
      <c r="N27" s="3"/>
      <c r="O27" s="3"/>
      <c r="P27" s="3"/>
      <c r="Q27" s="18">
        <f t="shared" si="1"/>
        <v>0</v>
      </c>
      <c r="R27" s="3"/>
      <c r="S27" s="3"/>
    </row>
  </sheetData>
  <mergeCells count="12">
    <mergeCell ref="A3:C3"/>
    <mergeCell ref="M3:O3"/>
    <mergeCell ref="A1:S1"/>
    <mergeCell ref="D2:F2"/>
    <mergeCell ref="G2:M2"/>
    <mergeCell ref="N2:P2"/>
    <mergeCell ref="Q3:S3"/>
    <mergeCell ref="Q2:S2"/>
    <mergeCell ref="D3:E3"/>
    <mergeCell ref="K3:L3"/>
    <mergeCell ref="F3:J3"/>
    <mergeCell ref="A2:C2"/>
  </mergeCells>
  <pageMargins left="0.70866141732283472" right="0.70866141732283472" top="0.74803149606299213" bottom="0.74803149606299213" header="0.31496062992125984" footer="0.31496062992125984"/>
  <pageSetup paperSize="9" scale="7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5"/>
  <sheetViews>
    <sheetView topLeftCell="A19" workbookViewId="0">
      <selection activeCell="A25" sqref="A25:XFD25"/>
    </sheetView>
  </sheetViews>
  <sheetFormatPr defaultColWidth="10.76171875" defaultRowHeight="15" x14ac:dyDescent="0.2"/>
  <cols>
    <col min="1" max="1" width="11.8359375" style="10" bestFit="1" customWidth="1"/>
    <col min="2" max="2" width="12.10546875" bestFit="1" customWidth="1"/>
    <col min="3" max="3" width="11.8359375" bestFit="1" customWidth="1"/>
    <col min="4" max="4" width="8.875" bestFit="1" customWidth="1"/>
    <col min="5" max="5" width="23.80859375" bestFit="1" customWidth="1"/>
    <col min="6" max="6" width="14.52734375" bestFit="1" customWidth="1"/>
    <col min="7" max="7" width="11.02734375" bestFit="1" customWidth="1"/>
    <col min="8" max="8" width="9.28125" bestFit="1" customWidth="1"/>
    <col min="9" max="9" width="10.35546875" bestFit="1" customWidth="1"/>
    <col min="10" max="10" width="11.296875" bestFit="1" customWidth="1"/>
  </cols>
  <sheetData>
    <row r="1" spans="1:10" x14ac:dyDescent="0.2">
      <c r="A1" s="25" t="s">
        <v>5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41.25" x14ac:dyDescent="0.2">
      <c r="A2" s="9" t="s">
        <v>26</v>
      </c>
      <c r="B2" s="2" t="s">
        <v>2</v>
      </c>
      <c r="C2" s="2" t="s">
        <v>6</v>
      </c>
      <c r="D2" s="2" t="s">
        <v>15</v>
      </c>
      <c r="E2" s="2" t="s">
        <v>27</v>
      </c>
      <c r="F2" s="5" t="s">
        <v>8</v>
      </c>
      <c r="G2" s="5" t="s">
        <v>10</v>
      </c>
      <c r="H2" s="5" t="s">
        <v>12</v>
      </c>
      <c r="I2" s="5" t="s">
        <v>11</v>
      </c>
      <c r="J2" s="1" t="s">
        <v>13</v>
      </c>
    </row>
    <row r="3" spans="1:10" ht="41.25" x14ac:dyDescent="0.2">
      <c r="A3" s="7">
        <f>Bitácora!A5</f>
        <v>45842</v>
      </c>
      <c r="B3" s="3" t="str">
        <f>Bitácora!B5</f>
        <v>Liliam-Fermin</v>
      </c>
      <c r="C3" s="3" t="str">
        <f>Bitácora!Q5</f>
        <v>PDMP50006</v>
      </c>
      <c r="D3" s="3">
        <f>Bitácora!C5</f>
        <v>100</v>
      </c>
      <c r="E3" s="3" t="str">
        <f>Bitácora!F5</f>
        <v>Dracaena sanderiana golden trenzas de 4 plantas de 12 pulgadas</v>
      </c>
      <c r="F3" s="3" t="str">
        <f>Bitácora!G5</f>
        <v>MP#5</v>
      </c>
      <c r="G3" s="3" t="str">
        <f>Bitácora!H5</f>
        <v>Vivero 60%</v>
      </c>
      <c r="H3" s="3">
        <f>Bitácora!I5</f>
        <v>950</v>
      </c>
      <c r="I3" s="3" t="str">
        <f>Bitácora!J5</f>
        <v>6 horas</v>
      </c>
      <c r="J3" s="3">
        <f>Bitácora!R5</f>
        <v>5557</v>
      </c>
    </row>
    <row r="4" spans="1:10" ht="27.75" x14ac:dyDescent="0.2">
      <c r="A4" s="7">
        <f>Bitácora!A6</f>
        <v>45842</v>
      </c>
      <c r="B4" s="3" t="str">
        <f>Bitácora!B6</f>
        <v>Liliam-Fermin</v>
      </c>
      <c r="C4" s="3" t="str">
        <f>Bitácora!Q6</f>
        <v>PPMP11036</v>
      </c>
      <c r="D4" s="3">
        <f>Bitácora!C6</f>
        <v>29</v>
      </c>
      <c r="E4" s="3" t="str">
        <f>Bitácora!F6</f>
        <v xml:space="preserve">Philodendro congo rojo a planta de 40 cm </v>
      </c>
      <c r="F4" s="3" t="str">
        <f>Bitácora!G6</f>
        <v>MP#11</v>
      </c>
      <c r="G4" s="3" t="str">
        <f>Bitácora!H6</f>
        <v>Macetas</v>
      </c>
      <c r="H4" s="3">
        <f>Bitácora!I6</f>
        <v>10480</v>
      </c>
      <c r="I4" s="3" t="str">
        <f>Bitácora!J6</f>
        <v>12 horas</v>
      </c>
      <c r="J4" s="3">
        <f>Bitácora!R6</f>
        <v>5557</v>
      </c>
    </row>
    <row r="5" spans="1:10" ht="27.75" x14ac:dyDescent="0.2">
      <c r="A5" s="7">
        <f>Bitácora!A7</f>
        <v>45848</v>
      </c>
      <c r="B5" s="3" t="str">
        <f>Bitácora!B7</f>
        <v>Liliam-Idalia-Lidia</v>
      </c>
      <c r="C5" s="3" t="str">
        <f>Bitácora!Q7</f>
        <v>PPCA01024</v>
      </c>
      <c r="D5" s="3">
        <f>Bitácora!C7</f>
        <v>10</v>
      </c>
      <c r="E5" s="3" t="str">
        <f>Bitácora!F7</f>
        <v xml:space="preserve">Potho 5 puntas de 6 pulgadas </v>
      </c>
      <c r="F5" s="3" t="str">
        <f>Bitácora!G7</f>
        <v>PC#1</v>
      </c>
      <c r="G5" s="3" t="str">
        <f>Bitácora!H7</f>
        <v>Pilon Maceta flora</v>
      </c>
      <c r="H5" s="3">
        <f>Bitácora!I7</f>
        <v>6000</v>
      </c>
      <c r="I5" s="3" t="str">
        <f>Bitácora!J7</f>
        <v>2 horas</v>
      </c>
      <c r="J5" s="3">
        <f>Bitácora!R7</f>
        <v>5560</v>
      </c>
    </row>
    <row r="6" spans="1:10" ht="27.75" x14ac:dyDescent="0.2">
      <c r="A6" s="7">
        <f>Bitácora!A8</f>
        <v>45848</v>
      </c>
      <c r="B6" s="3" t="str">
        <f>Bitácora!B8</f>
        <v>Liliam-Idalia-Lidia</v>
      </c>
      <c r="C6" s="3" t="str">
        <f>Bitácora!Q8</f>
        <v>PQCA01001</v>
      </c>
      <c r="D6" s="3">
        <f>Bitácora!C8</f>
        <v>25</v>
      </c>
      <c r="E6" s="3" t="str">
        <f>Bitácora!F8</f>
        <v>Queso suizo 5 plantas de 6 pulgadas</v>
      </c>
      <c r="F6" s="3" t="str">
        <f>Bitácora!G8</f>
        <v>PC#1</v>
      </c>
      <c r="G6" s="3" t="str">
        <f>Bitácora!H8</f>
        <v>Pilon Maceta flora</v>
      </c>
      <c r="H6" s="3">
        <f>Bitácora!I8</f>
        <v>6000</v>
      </c>
      <c r="I6" s="3" t="str">
        <f>Bitácora!J8</f>
        <v>4 horas</v>
      </c>
      <c r="J6" s="3">
        <f>Bitácora!R8</f>
        <v>5560</v>
      </c>
    </row>
    <row r="7" spans="1:10" ht="27.75" x14ac:dyDescent="0.2">
      <c r="A7" s="7">
        <f>Bitácora!A9</f>
        <v>45848</v>
      </c>
      <c r="B7" s="3" t="str">
        <f>Bitácora!B9</f>
        <v>Liliam-Idalia-Lidia</v>
      </c>
      <c r="C7" s="3" t="str">
        <f>Bitácora!Q9</f>
        <v>PFMP03120</v>
      </c>
      <c r="D7" s="3">
        <f>Bitácora!C9</f>
        <v>29</v>
      </c>
      <c r="E7" s="3" t="str">
        <f>Bitácora!F9</f>
        <v>Ficus brasil 3 plantas de 40 cm</v>
      </c>
      <c r="F7" s="3" t="str">
        <f>Bitácora!G9</f>
        <v>MP#3 Dec</v>
      </c>
      <c r="G7" s="3" t="str">
        <f>Bitácora!H9</f>
        <v>Vivero 60%</v>
      </c>
      <c r="H7" s="3">
        <f>Bitácora!I9</f>
        <v>11300</v>
      </c>
      <c r="I7" s="3" t="str">
        <f>Bitácora!J9</f>
        <v>4 horas</v>
      </c>
      <c r="J7" s="3">
        <f>Bitácora!R9</f>
        <v>5560</v>
      </c>
    </row>
    <row r="8" spans="1:10" ht="27.75" x14ac:dyDescent="0.2">
      <c r="A8" s="7">
        <f>Bitácora!A10</f>
        <v>45852</v>
      </c>
      <c r="B8" s="3" t="str">
        <f>Bitácora!B10</f>
        <v>Lidia-Idalia-Lidia</v>
      </c>
      <c r="C8" s="3" t="str">
        <f>Bitácora!Q10</f>
        <v>PDMP04005</v>
      </c>
      <c r="D8" s="3">
        <f>Bitácora!C10</f>
        <v>55</v>
      </c>
      <c r="E8" s="3" t="str">
        <f>Bitácora!F10</f>
        <v>Dracaena sanderiana 4 tallos de 4 pulgadas</v>
      </c>
      <c r="F8" s="3" t="str">
        <f>Bitácora!G10</f>
        <v xml:space="preserve">Mp4 </v>
      </c>
      <c r="G8" s="3" t="str">
        <f>Bitácora!H10</f>
        <v>Vivero 60%</v>
      </c>
      <c r="H8" s="3">
        <f>Bitácora!I10</f>
        <v>400</v>
      </c>
      <c r="I8" s="3" t="str">
        <f>Bitácora!J10</f>
        <v>5 horas</v>
      </c>
      <c r="J8" s="3">
        <f>Bitácora!R10</f>
        <v>5563</v>
      </c>
    </row>
    <row r="9" spans="1:10" ht="41.25" x14ac:dyDescent="0.2">
      <c r="A9" s="7">
        <f>Bitácora!A11</f>
        <v>45852</v>
      </c>
      <c r="B9" s="3" t="str">
        <f>Bitácora!B11</f>
        <v>Lidia-Idalia-Lidia</v>
      </c>
      <c r="C9" s="3" t="str">
        <f>Bitácora!Q11</f>
        <v>PDMP50006</v>
      </c>
      <c r="D9" s="3">
        <f>Bitácora!C11</f>
        <v>75</v>
      </c>
      <c r="E9" s="3" t="str">
        <f>Bitácora!F11</f>
        <v>Dracaena sanderiana golden trenzas de 4 plantas de 12 pulgadas</v>
      </c>
      <c r="F9" s="3" t="str">
        <f>Bitácora!G11</f>
        <v>MP#5</v>
      </c>
      <c r="G9" s="3" t="str">
        <f>Bitácora!H11</f>
        <v>Vivero 60%</v>
      </c>
      <c r="H9" s="3">
        <f>Bitácora!I11</f>
        <v>950</v>
      </c>
      <c r="I9" s="3" t="str">
        <f>Bitácora!J11</f>
        <v>5 horas</v>
      </c>
      <c r="J9" s="3">
        <f>Bitácora!R11</f>
        <v>5563</v>
      </c>
    </row>
    <row r="10" spans="1:10" ht="27.75" x14ac:dyDescent="0.2">
      <c r="A10" s="7">
        <f>Bitácora!A12</f>
        <v>45852</v>
      </c>
      <c r="B10" s="3" t="str">
        <f>Bitácora!B12</f>
        <v>Lidia-Idalia-Lidia</v>
      </c>
      <c r="C10" s="3" t="str">
        <f>Bitácora!Q12</f>
        <v>PSMP61009</v>
      </c>
      <c r="D10" s="3">
        <f>Bitácora!C12</f>
        <v>46</v>
      </c>
      <c r="E10" s="3" t="str">
        <f>Bitácora!F12</f>
        <v>Schefflera mini malla circ 12 plantas de 12 pulgadas</v>
      </c>
      <c r="F10" s="3" t="str">
        <f>Bitácora!G12</f>
        <v>MP#6</v>
      </c>
      <c r="G10" s="3" t="str">
        <f>Bitácora!H12</f>
        <v>Vivero 80%</v>
      </c>
      <c r="H10" s="3">
        <f>Bitácora!I12</f>
        <v>1230</v>
      </c>
      <c r="I10" s="3" t="str">
        <f>Bitácora!J12</f>
        <v>3 horas</v>
      </c>
      <c r="J10" s="3">
        <f>Bitácora!R12</f>
        <v>5563</v>
      </c>
    </row>
    <row r="11" spans="1:10" ht="41.25" x14ac:dyDescent="0.2">
      <c r="A11" s="7">
        <f>Bitácora!A13</f>
        <v>45853</v>
      </c>
      <c r="B11" s="3" t="str">
        <f>Bitácora!B13</f>
        <v>Lidia-Idalia-Lidia</v>
      </c>
      <c r="C11" s="3" t="str">
        <f>Bitácora!Q13</f>
        <v>PDMP50006</v>
      </c>
      <c r="D11" s="3">
        <f>Bitácora!C13</f>
        <v>141</v>
      </c>
      <c r="E11" s="3" t="str">
        <f>Bitácora!F13</f>
        <v>Dracaena sanderiana golden trenzas de 4 plantas de 12 pulgadas</v>
      </c>
      <c r="F11" s="3" t="str">
        <f>Bitácora!G13</f>
        <v>MP#5</v>
      </c>
      <c r="G11" s="3" t="str">
        <f>Bitácora!H13</f>
        <v>Vivero 60%</v>
      </c>
      <c r="H11" s="3">
        <f>Bitácora!I13</f>
        <v>950</v>
      </c>
      <c r="I11" s="3" t="str">
        <f>Bitácora!J13</f>
        <v>12 horas</v>
      </c>
      <c r="J11" s="3">
        <f>Bitácora!R13</f>
        <v>5564</v>
      </c>
    </row>
    <row r="12" spans="1:10" ht="27.75" x14ac:dyDescent="0.2">
      <c r="A12" s="7">
        <f>Bitácora!A14</f>
        <v>45854</v>
      </c>
      <c r="B12" s="3" t="str">
        <f>Bitácora!B14</f>
        <v>Misael</v>
      </c>
      <c r="C12" s="3" t="str">
        <f>Bitácora!Q14</f>
        <v>PPCA01039</v>
      </c>
      <c r="D12" s="3">
        <f>Bitácora!C14</f>
        <v>20</v>
      </c>
      <c r="E12" s="3" t="str">
        <f>Bitácora!F14</f>
        <v>Potho neon (limon) 5 plantas de 4 pulgadas</v>
      </c>
      <c r="F12" s="3" t="str">
        <f>Bitácora!G14</f>
        <v>PC#1</v>
      </c>
      <c r="G12" s="3" t="str">
        <f>Bitácora!H14</f>
        <v>Pilon Maceta flora</v>
      </c>
      <c r="H12" s="3">
        <f>Bitácora!I14</f>
        <v>6000</v>
      </c>
      <c r="I12" s="3" t="str">
        <f>Bitácora!J14</f>
        <v>4 horas</v>
      </c>
      <c r="J12" s="3">
        <f>Bitácora!R14</f>
        <v>5565</v>
      </c>
    </row>
    <row r="13" spans="1:10" x14ac:dyDescent="0.2">
      <c r="A13" s="7">
        <f>Bitácora!A15</f>
        <v>45854</v>
      </c>
      <c r="B13" s="3" t="str">
        <f>Bitácora!B15</f>
        <v>Misael</v>
      </c>
      <c r="C13" s="3" t="str">
        <f>Bitácora!Q15</f>
        <v>PSMP03011</v>
      </c>
      <c r="D13" s="3">
        <f>Bitácora!C15</f>
        <v>11</v>
      </c>
      <c r="E13" s="3" t="str">
        <f>Bitácora!F15</f>
        <v>Sansiberiam</v>
      </c>
      <c r="F13" s="3" t="str">
        <f>Bitácora!G15</f>
        <v>MP#3 Dec</v>
      </c>
      <c r="G13" s="3" t="str">
        <f>Bitácora!H15</f>
        <v>pilon</v>
      </c>
      <c r="H13" s="3">
        <f>Bitácora!I15</f>
        <v>11300</v>
      </c>
      <c r="I13" s="3" t="str">
        <f>Bitácora!J15</f>
        <v>2 horas</v>
      </c>
      <c r="J13" s="3">
        <f>Bitácora!R15</f>
        <v>5565</v>
      </c>
    </row>
    <row r="14" spans="1:10" ht="54.75" x14ac:dyDescent="0.2">
      <c r="A14" s="7">
        <f>Bitácora!A16</f>
        <v>45854</v>
      </c>
      <c r="B14" s="3" t="str">
        <f>Bitácora!B16</f>
        <v>Misael</v>
      </c>
      <c r="C14" s="3" t="str">
        <f>Bitácora!Q16</f>
        <v>PAMP04021</v>
      </c>
      <c r="D14" s="3">
        <f>Bitácora!C16</f>
        <v>10</v>
      </c>
      <c r="E14" s="3" t="str">
        <f>Bitácora!F16</f>
        <v>Arreglos combinados 7 plantas de 5 pulgadas</v>
      </c>
      <c r="F14" s="3" t="str">
        <f>Bitácora!G16</f>
        <v>MP#4</v>
      </c>
      <c r="G14" s="3" t="str">
        <f>Bitácora!H16</f>
        <v>Vivero 47%, Vivero 60% y Aralias con riego</v>
      </c>
      <c r="H14" s="3">
        <f>Bitácora!I16</f>
        <v>15600</v>
      </c>
      <c r="I14" s="3" t="str">
        <f>Bitácora!J16</f>
        <v>2 horas</v>
      </c>
      <c r="J14" s="3">
        <f>Bitácora!R16</f>
        <v>5565</v>
      </c>
    </row>
    <row r="15" spans="1:10" hidden="1" x14ac:dyDescent="0.2">
      <c r="A15" s="7">
        <f>Bitácora!A17</f>
        <v>45855</v>
      </c>
      <c r="B15" s="3" t="str">
        <f>Bitácora!B17</f>
        <v>Liliam-Idalia</v>
      </c>
      <c r="C15" s="3" t="str">
        <f>Bitácora!Q17</f>
        <v>PPMP09002</v>
      </c>
      <c r="D15" s="3">
        <f>Bitácora!C17</f>
        <v>20</v>
      </c>
      <c r="E15" s="3">
        <f>Bitácora!F17</f>
        <v>0</v>
      </c>
      <c r="F15" s="3">
        <f>Bitácora!G17</f>
        <v>0</v>
      </c>
      <c r="G15" s="3">
        <f>Bitácora!H17</f>
        <v>0</v>
      </c>
      <c r="H15" s="3">
        <f>Bitácora!I17</f>
        <v>0</v>
      </c>
      <c r="I15" s="3" t="str">
        <f>Bitácora!J17</f>
        <v>14 horas</v>
      </c>
      <c r="J15" s="3">
        <f>Bitácora!R17</f>
        <v>5566</v>
      </c>
    </row>
    <row r="16" spans="1:10" ht="27.75" x14ac:dyDescent="0.2">
      <c r="A16" s="7">
        <f>Bitácora!A18</f>
        <v>45855</v>
      </c>
      <c r="B16" s="3" t="str">
        <f>Bitácora!B18</f>
        <v>Liliam-Idalia</v>
      </c>
      <c r="C16" s="3" t="str">
        <f>Bitácora!Q18</f>
        <v>PPMP06029</v>
      </c>
      <c r="D16" s="3">
        <f>Bitácora!C18</f>
        <v>10</v>
      </c>
      <c r="E16" s="3" t="str">
        <f>Bitácora!F18</f>
        <v>Philodendro moonlight 3 puntas de 6 pulgadas</v>
      </c>
      <c r="F16" s="3" t="str">
        <f>Bitácora!G18</f>
        <v>MP#6</v>
      </c>
      <c r="G16" s="3" t="str">
        <f>Bitácora!H18</f>
        <v>Maceras</v>
      </c>
      <c r="H16" s="3">
        <f>Bitácora!I18</f>
        <v>1230</v>
      </c>
      <c r="I16" s="3" t="str">
        <f>Bitácora!J18</f>
        <v>2 horas</v>
      </c>
      <c r="J16" s="3">
        <f>Bitácora!R18</f>
        <v>5566</v>
      </c>
    </row>
    <row r="17" spans="1:10" ht="54.75" x14ac:dyDescent="0.2">
      <c r="A17" s="7">
        <f>Bitácora!A19</f>
        <v>45855</v>
      </c>
      <c r="B17" s="3" t="str">
        <f>Bitácora!B19</f>
        <v>Alejandro</v>
      </c>
      <c r="C17" s="3" t="str">
        <f>Bitácora!Q19</f>
        <v>PAMP01020</v>
      </c>
      <c r="D17" s="3">
        <f>Bitácora!C19</f>
        <v>30</v>
      </c>
      <c r="E17" s="3" t="str">
        <f>Bitácora!F19</f>
        <v>Arreglo combinado 7 plantas de 10 pulgadas</v>
      </c>
      <c r="F17" s="3" t="str">
        <f>Bitácora!G19</f>
        <v>MP#1 dec</v>
      </c>
      <c r="G17" s="3" t="str">
        <f>Bitácora!H19</f>
        <v>Vivero 47%, 60%, 80% y aralias con riego</v>
      </c>
      <c r="H17" s="3">
        <f>Bitácora!I19</f>
        <v>5000</v>
      </c>
      <c r="I17" s="3" t="str">
        <f>Bitácora!J19</f>
        <v>6 horas</v>
      </c>
      <c r="J17" s="3">
        <f>Bitácora!R19</f>
        <v>5566</v>
      </c>
    </row>
    <row r="18" spans="1:10" ht="27.75" x14ac:dyDescent="0.2">
      <c r="A18" s="7">
        <f>Bitácora!A20</f>
        <v>45861</v>
      </c>
      <c r="B18" s="3" t="str">
        <f>Bitácora!B20</f>
        <v>Edwin</v>
      </c>
      <c r="C18" s="3" t="str">
        <f>Bitácora!Q20</f>
        <v>PFMP11020</v>
      </c>
      <c r="D18" s="3">
        <f>Bitácora!C20</f>
        <v>30</v>
      </c>
      <c r="E18" s="3" t="str">
        <f>Bitácora!F20</f>
        <v>Ficus lyriata 1 planta de 40 cm</v>
      </c>
      <c r="F18" s="3" t="str">
        <f>Bitácora!G20</f>
        <v>MP#11</v>
      </c>
      <c r="G18" s="3" t="str">
        <f>Bitácora!H20</f>
        <v>Vivero 60%</v>
      </c>
      <c r="H18" s="3">
        <f>Bitácora!I20</f>
        <v>10480</v>
      </c>
      <c r="I18" s="3" t="str">
        <f>Bitácora!J20</f>
        <v>8 horas</v>
      </c>
      <c r="J18" s="3">
        <f>Bitácora!R20</f>
        <v>6569</v>
      </c>
    </row>
    <row r="19" spans="1:10" ht="54.75" x14ac:dyDescent="0.2">
      <c r="A19" s="7">
        <f>Bitácora!A21</f>
        <v>45862</v>
      </c>
      <c r="B19" s="3" t="str">
        <f>Bitácora!B21</f>
        <v>Liliam-Idalia-Edwin</v>
      </c>
      <c r="C19" s="3" t="str">
        <f>Bitácora!Q21</f>
        <v>PAMP01020</v>
      </c>
      <c r="D19" s="3">
        <f>Bitácora!C21</f>
        <v>69</v>
      </c>
      <c r="E19" s="3" t="str">
        <f>Bitácora!F21</f>
        <v>Arreglo combinado 7 plantas de 10 pulgadas</v>
      </c>
      <c r="F19" s="3" t="str">
        <f>Bitácora!G21</f>
        <v>MP#1 dec</v>
      </c>
      <c r="G19" s="3" t="str">
        <f>Bitácora!H21</f>
        <v>Vivero 47%, 60%, 80% y aralias con riego</v>
      </c>
      <c r="H19" s="3">
        <f>Bitácora!I21</f>
        <v>5000</v>
      </c>
      <c r="I19" s="3" t="str">
        <f>Bitácora!J21</f>
        <v>16 horas</v>
      </c>
      <c r="J19" s="3">
        <f>Bitácora!R21</f>
        <v>5570</v>
      </c>
    </row>
    <row r="20" spans="1:10" ht="27.75" x14ac:dyDescent="0.2">
      <c r="A20" s="7">
        <f>Bitácora!A22</f>
        <v>45862</v>
      </c>
      <c r="B20" s="3" t="str">
        <f>Bitácora!B22</f>
        <v>Liliam-Idalia-Edwin</v>
      </c>
      <c r="C20" s="3" t="str">
        <f>Bitácora!Q22</f>
        <v>PFMP11020</v>
      </c>
      <c r="D20" s="3">
        <f>Bitácora!C22</f>
        <v>3</v>
      </c>
      <c r="E20" s="3" t="str">
        <f>Bitácora!F22</f>
        <v>Ficus lyriata 1 planta de 40 cm</v>
      </c>
      <c r="F20" s="3" t="str">
        <f>Bitácora!G22</f>
        <v>MP#11</v>
      </c>
      <c r="G20" s="3" t="str">
        <f>Bitácora!H22</f>
        <v>Vivero 60%</v>
      </c>
      <c r="H20" s="3">
        <f>Bitácora!I22</f>
        <v>10480</v>
      </c>
      <c r="I20" s="3" t="str">
        <f>Bitácora!J22</f>
        <v>1 hora</v>
      </c>
      <c r="J20" s="3">
        <f>Bitácora!R22</f>
        <v>5570</v>
      </c>
    </row>
    <row r="21" spans="1:10" ht="27.75" x14ac:dyDescent="0.2">
      <c r="A21" s="7">
        <f>Bitácora!A23</f>
        <v>45866</v>
      </c>
      <c r="B21" s="3" t="str">
        <f>Bitácora!B23</f>
        <v>Misael-Julio-Liliam-idalia</v>
      </c>
      <c r="C21" s="3" t="str">
        <f>Bitácora!Q23</f>
        <v>PQCA01001</v>
      </c>
      <c r="D21" s="3">
        <f>Bitácora!C23</f>
        <v>15</v>
      </c>
      <c r="E21" s="3" t="str">
        <f>Bitácora!F23</f>
        <v>Queso suizo 5 plantas de 6 pulgadas</v>
      </c>
      <c r="F21" s="3" t="str">
        <f>Bitácora!G23</f>
        <v>PC#1</v>
      </c>
      <c r="G21" s="3" t="str">
        <f>Bitácora!H23</f>
        <v>Vivero 80%</v>
      </c>
      <c r="H21" s="3">
        <f>Bitácora!I23</f>
        <v>6000</v>
      </c>
      <c r="I21" s="3" t="str">
        <f>Bitácora!J23</f>
        <v>3 horas</v>
      </c>
      <c r="J21" s="3">
        <f>Bitácora!R23</f>
        <v>5572</v>
      </c>
    </row>
    <row r="22" spans="1:10" ht="27.75" x14ac:dyDescent="0.2">
      <c r="A22" s="7">
        <f>Bitácora!A24</f>
        <v>45866</v>
      </c>
      <c r="B22" s="3" t="str">
        <f>Bitácora!B24</f>
        <v>Misael-Julio-Liliam-idalia</v>
      </c>
      <c r="C22" s="3" t="str">
        <f>Bitácora!Q24</f>
        <v>PPCA01039</v>
      </c>
      <c r="D22" s="3">
        <f>Bitácora!C24</f>
        <v>13</v>
      </c>
      <c r="E22" s="3" t="str">
        <f>Bitácora!F24</f>
        <v>Potho neon 5 plantas de 6 pulgadas</v>
      </c>
      <c r="F22" s="3" t="str">
        <f>Bitácora!G24</f>
        <v>PC#1</v>
      </c>
      <c r="G22" s="3" t="str">
        <f>Bitácora!H24</f>
        <v>Canastas</v>
      </c>
      <c r="H22" s="3">
        <f>Bitácora!I24</f>
        <v>6000</v>
      </c>
      <c r="I22" s="3" t="str">
        <f>Bitácora!J24</f>
        <v>3 horas</v>
      </c>
      <c r="J22" s="3">
        <f>Bitácora!R24</f>
        <v>5572</v>
      </c>
    </row>
    <row r="23" spans="1:10" ht="41.25" x14ac:dyDescent="0.2">
      <c r="A23" s="7">
        <f>Bitácora!A25</f>
        <v>45867</v>
      </c>
      <c r="B23" s="3" t="str">
        <f>Bitácora!B25</f>
        <v>Joel</v>
      </c>
      <c r="C23" s="3" t="str">
        <f>Bitácora!Q25</f>
        <v>PDMP50006</v>
      </c>
      <c r="D23" s="3">
        <f>Bitácora!C25</f>
        <v>100</v>
      </c>
      <c r="E23" s="3" t="str">
        <f>Bitácora!F25</f>
        <v>Dracaena sanderiana trenzas 4 plantas de 12 pulgadas</v>
      </c>
      <c r="F23" s="3" t="str">
        <f>Bitácora!G25</f>
        <v>MP#5</v>
      </c>
      <c r="G23" s="3" t="str">
        <f>Bitácora!H25</f>
        <v>Vivero 80%</v>
      </c>
      <c r="H23" s="3">
        <f>Bitácora!I25</f>
        <v>950</v>
      </c>
      <c r="I23" s="3" t="str">
        <f>Bitácora!J25</f>
        <v>6 horas</v>
      </c>
      <c r="J23" s="3">
        <f>Bitácora!R25</f>
        <v>5573</v>
      </c>
    </row>
    <row r="24" spans="1:10" ht="27.75" x14ac:dyDescent="0.2">
      <c r="A24" s="7">
        <f>Bitácora!A26</f>
        <v>45869</v>
      </c>
      <c r="B24" s="3" t="str">
        <f>Bitácora!B26</f>
        <v>Joel-william- Julio</v>
      </c>
      <c r="C24" s="3" t="str">
        <f>Bitácora!Q26</f>
        <v>PPMP06029</v>
      </c>
      <c r="D24" s="3">
        <f>Bitácora!C26</f>
        <v>125</v>
      </c>
      <c r="E24" s="3" t="str">
        <f>Bitácora!F26</f>
        <v>Philodendro moonlight 3 puntas de 6 pulgadas</v>
      </c>
      <c r="F24" s="3" t="str">
        <f>Bitácora!G26</f>
        <v>MP#6</v>
      </c>
      <c r="G24" s="3" t="str">
        <f>Bitácora!H26</f>
        <v>Maceras</v>
      </c>
      <c r="H24" s="3">
        <f>Bitácora!I26</f>
        <v>1230</v>
      </c>
      <c r="I24" s="3" t="str">
        <f>Bitácora!J26</f>
        <v>8 horas</v>
      </c>
      <c r="J24" s="3">
        <f>Bitácora!R26</f>
        <v>5574</v>
      </c>
    </row>
    <row r="25" spans="1:10" hidden="1" x14ac:dyDescent="0.2">
      <c r="A25" s="7">
        <f>Bitácora!A27</f>
        <v>45869</v>
      </c>
      <c r="B25" s="3" t="str">
        <f>Bitácora!B27</f>
        <v>Joel-william- Julio</v>
      </c>
      <c r="C25" s="3">
        <f>Bitácora!Q27</f>
        <v>0</v>
      </c>
      <c r="D25" s="3">
        <f>Bitácora!C27</f>
        <v>25</v>
      </c>
      <c r="E25" s="3">
        <f>Bitácora!F27</f>
        <v>0</v>
      </c>
      <c r="F25" s="3">
        <f>Bitácora!G27</f>
        <v>0</v>
      </c>
      <c r="G25" s="3">
        <f>Bitácora!H27</f>
        <v>0</v>
      </c>
      <c r="H25" s="3">
        <f>Bitácora!I27</f>
        <v>0</v>
      </c>
      <c r="I25" s="3">
        <f>Bitácora!J27</f>
        <v>0</v>
      </c>
      <c r="J25" s="3">
        <f>Bitácora!R27</f>
        <v>0</v>
      </c>
    </row>
  </sheetData>
  <autoFilter ref="A2:J7" xr:uid="{00000000-0009-0000-0000-000001000000}">
    <filterColumn colId="4">
      <filters>
        <filter val="#¡REF!"/>
        <filter val="Aralia fabia 5 plantas de 70 cm"/>
        <filter val="Aralia penockii malla plana 12 plantas de 12 pulgadas"/>
        <filter val="Aralia perejil malla circ 12 plantas de 12 pulgadas"/>
        <filter val="Arreglos combinados 6 plantas de 4 pulgadas"/>
        <filter val="Arreglos combinados 7 plantas de 50 cm"/>
        <filter val="Cedros de 15 cm 1 planta por bolsa"/>
        <filter val="Croto batick 1 planta de 12 pulgadas"/>
        <filter val="Croto batick malla circ 24 plantas de 12 pulgadas"/>
        <filter val="Croto batick malla circulares 12 plantas de 24 pulgadas"/>
        <filter val="Croto gold dust malla circ 12 plantas de 24 pulgadas"/>
        <filter val="Croto Iceton 1 planta de 12 pulgadas"/>
        <filter val="Croto petra 3 puntas de 8 pulgadas"/>
        <filter val="Croto petra amarillo 1 planta de 12 pulgadas"/>
        <filter val="Croto punctatum malla circ 24 plantas de 12 pulgadas"/>
        <filter val="Croto punctatum malla circular de 24 pulgadas"/>
        <filter val="Croto punctatum trenza 8 plantas de 12 pulgadas"/>
        <filter val="Diaffembaquias 1 plantas de 4 pulgadas"/>
        <filter val="Dracaena sanderiana 4 tallos, 4 plantas de 5 pulgadas"/>
        <filter val="Dracaena sanderiana malla piramide 12 plantas de 12 pulgadas"/>
        <filter val="Dracaena sanderiana verde con blanco trenza 4 plantas de 12 pulgadas"/>
        <filter val="Ficus Liriata 3 plantas de 40 cm"/>
        <filter val="Helecho lechuga 1 macoya de 50 cm"/>
        <filter val="Maquilishuat 10 cm 1 planta"/>
        <filter val="Philodendro moonlight 3 plantas de 8 pulgadas"/>
        <filter val="Potho joy toten 10 plantas de 40 cm"/>
        <filter val="potho normal 5 plantas de 8 pulgas"/>
        <filter val="Sansiberiam 1 macoya de 30 cm de alto"/>
        <filter val="Schefflera mini arb. 6 plantas de 70 cm"/>
        <filter val="Schefflera mini feria 4 plantas de 4 pulgadas"/>
        <filter val="Schefflera mini malla circ 12 plantas de 12 pulgadas"/>
      </filters>
    </filterColumn>
  </autoFilter>
  <mergeCells count="1">
    <mergeCell ref="A1:J1"/>
  </mergeCells>
  <pageMargins left="0.7" right="0.7" top="0.75" bottom="0.75" header="0.3" footer="0.3"/>
  <pageSetup orientation="landscape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C5" sqref="C5"/>
    </sheetView>
  </sheetViews>
  <sheetFormatPr defaultColWidth="10.76171875" defaultRowHeight="15" x14ac:dyDescent="0.2"/>
  <cols>
    <col min="4" max="4" width="23.5390625" customWidth="1"/>
    <col min="5" max="5" width="25.421875" customWidth="1"/>
    <col min="6" max="6" width="11.8359375" bestFit="1" customWidth="1"/>
  </cols>
  <sheetData>
    <row r="1" spans="1:6" x14ac:dyDescent="0.2">
      <c r="A1" s="27" t="s">
        <v>28</v>
      </c>
      <c r="B1" s="27"/>
      <c r="C1" s="27"/>
      <c r="D1" s="27"/>
      <c r="E1" s="27"/>
      <c r="F1" s="27"/>
    </row>
    <row r="2" spans="1:6" x14ac:dyDescent="0.2">
      <c r="A2" s="5" t="s">
        <v>14</v>
      </c>
      <c r="B2" s="5" t="s">
        <v>2</v>
      </c>
      <c r="C2" s="5" t="s">
        <v>15</v>
      </c>
      <c r="D2" s="5" t="s">
        <v>23</v>
      </c>
      <c r="E2" s="1" t="s">
        <v>29</v>
      </c>
      <c r="F2" s="1" t="s">
        <v>6</v>
      </c>
    </row>
    <row r="3" spans="1:6" ht="27.75" x14ac:dyDescent="0.2">
      <c r="A3" s="6">
        <f>Bitácora!A5</f>
        <v>45842</v>
      </c>
      <c r="B3" s="3" t="str">
        <f>Bitácora!B5</f>
        <v>Liliam-Fermin</v>
      </c>
      <c r="C3" s="3">
        <f>Bitácora!C5</f>
        <v>100</v>
      </c>
      <c r="D3" s="3">
        <f>Bitácora!P5</f>
        <v>0</v>
      </c>
      <c r="E3" s="3">
        <f>Bitácora!S5</f>
        <v>0</v>
      </c>
      <c r="F3" s="3" t="str">
        <f>Bitácora!M5</f>
        <v>PDMP50006</v>
      </c>
    </row>
    <row r="5" spans="1:6" x14ac:dyDescent="0.2">
      <c r="C5" s="16" t="s">
        <v>57</v>
      </c>
    </row>
  </sheetData>
  <autoFilter ref="A2:F3" xr:uid="{00000000-0009-0000-0000-000002000000}"/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131"/>
  <sheetViews>
    <sheetView workbookViewId="0">
      <selection activeCell="E142" sqref="E142"/>
    </sheetView>
  </sheetViews>
  <sheetFormatPr defaultColWidth="10.76171875" defaultRowHeight="15" x14ac:dyDescent="0.2"/>
  <cols>
    <col min="1" max="1" width="11.43359375" style="8"/>
    <col min="5" max="5" width="27.84375" bestFit="1" customWidth="1"/>
    <col min="6" max="6" width="39.4140625" bestFit="1" customWidth="1"/>
    <col min="7" max="7" width="11.8359375" bestFit="1" customWidth="1"/>
  </cols>
  <sheetData>
    <row r="1" spans="1:8" x14ac:dyDescent="0.2">
      <c r="A1" s="28" t="s">
        <v>30</v>
      </c>
      <c r="B1" s="19"/>
      <c r="C1" s="19"/>
      <c r="D1" s="19"/>
      <c r="E1" s="19"/>
      <c r="F1" s="19"/>
      <c r="G1" s="19"/>
      <c r="H1" s="19"/>
    </row>
    <row r="2" spans="1:8" ht="27.75" x14ac:dyDescent="0.2">
      <c r="A2" s="11" t="s">
        <v>14</v>
      </c>
      <c r="B2" s="5" t="s">
        <v>2</v>
      </c>
      <c r="C2" s="5" t="s">
        <v>15</v>
      </c>
      <c r="D2" s="1" t="s">
        <v>25</v>
      </c>
      <c r="E2" s="5" t="s">
        <v>17</v>
      </c>
      <c r="F2" s="5" t="s">
        <v>18</v>
      </c>
      <c r="G2" s="5" t="s">
        <v>6</v>
      </c>
      <c r="H2" s="1" t="s">
        <v>13</v>
      </c>
    </row>
    <row r="3" spans="1:8" hidden="1" x14ac:dyDescent="0.2">
      <c r="A3" s="7">
        <f>Bitácora!A5</f>
        <v>45842</v>
      </c>
      <c r="B3" s="3" t="str">
        <f>Bitácora!B5</f>
        <v>Liliam-Fermin</v>
      </c>
      <c r="C3" s="3">
        <f>Bitácora!C5</f>
        <v>100</v>
      </c>
      <c r="D3" s="3" t="str">
        <f>Bitácora!M5</f>
        <v>PDMP50006</v>
      </c>
      <c r="E3" s="3">
        <f>Bitácora!N5</f>
        <v>0</v>
      </c>
      <c r="F3" s="3">
        <f>Bitácora!O5</f>
        <v>0</v>
      </c>
      <c r="G3" s="3" t="str">
        <f>Bitácora!Q5</f>
        <v>PDMP50006</v>
      </c>
      <c r="H3" s="3">
        <f>Bitácora!R5</f>
        <v>5557</v>
      </c>
    </row>
    <row r="4" spans="1:8" hidden="1" x14ac:dyDescent="0.2">
      <c r="A4" s="7">
        <f>Bitácora!A6</f>
        <v>45842</v>
      </c>
      <c r="B4" s="3" t="str">
        <f>Bitácora!B6</f>
        <v>Liliam-Fermin</v>
      </c>
      <c r="C4" s="3">
        <f>Bitácora!C6</f>
        <v>29</v>
      </c>
      <c r="D4" s="3" t="str">
        <f>Bitácora!M6</f>
        <v>PPMP11036</v>
      </c>
      <c r="E4" s="3">
        <f>Bitácora!N6</f>
        <v>0</v>
      </c>
      <c r="F4" s="3">
        <f>Bitácora!O6</f>
        <v>0</v>
      </c>
      <c r="G4" s="3" t="str">
        <f>Bitácora!Q6</f>
        <v>PPMP11036</v>
      </c>
      <c r="H4" s="3">
        <f>Bitácora!R6</f>
        <v>5557</v>
      </c>
    </row>
    <row r="5" spans="1:8" hidden="1" x14ac:dyDescent="0.2">
      <c r="A5" s="7">
        <f>Bitácora!A7</f>
        <v>45848</v>
      </c>
      <c r="B5" s="3" t="str">
        <f>Bitácora!B7</f>
        <v>Liliam-Idalia-Lidia</v>
      </c>
      <c r="C5" s="3">
        <f>Bitácora!C7</f>
        <v>10</v>
      </c>
      <c r="D5" s="3" t="str">
        <f>Bitácora!M7</f>
        <v>PPCA01024</v>
      </c>
      <c r="E5" s="3">
        <f>Bitácora!N7</f>
        <v>0</v>
      </c>
      <c r="F5" s="3">
        <f>Bitácora!O7</f>
        <v>0</v>
      </c>
      <c r="G5" s="3" t="str">
        <f>Bitácora!Q7</f>
        <v>PPCA01024</v>
      </c>
      <c r="H5" s="3">
        <f>Bitácora!R7</f>
        <v>5560</v>
      </c>
    </row>
    <row r="6" spans="1:8" hidden="1" x14ac:dyDescent="0.2">
      <c r="A6" s="7">
        <f>Bitácora!A8</f>
        <v>45848</v>
      </c>
      <c r="B6" s="3" t="str">
        <f>Bitácora!B8</f>
        <v>Liliam-Idalia-Lidia</v>
      </c>
      <c r="C6" s="3">
        <f>Bitácora!C8</f>
        <v>25</v>
      </c>
      <c r="D6" s="3" t="str">
        <f>Bitácora!M8</f>
        <v>PQCA01001</v>
      </c>
      <c r="E6" s="3">
        <f>Bitácora!N8</f>
        <v>0</v>
      </c>
      <c r="F6" s="3">
        <f>Bitácora!O8</f>
        <v>0</v>
      </c>
      <c r="G6" s="3" t="str">
        <f>Bitácora!Q8</f>
        <v>PQCA01001</v>
      </c>
      <c r="H6" s="3">
        <f>Bitácora!R8</f>
        <v>5560</v>
      </c>
    </row>
    <row r="7" spans="1:8" hidden="1" x14ac:dyDescent="0.2">
      <c r="A7" s="7">
        <f>Bitácora!A9</f>
        <v>45848</v>
      </c>
      <c r="B7" s="3" t="str">
        <f>Bitácora!B9</f>
        <v>Liliam-Idalia-Lidia</v>
      </c>
      <c r="C7" s="3">
        <f>Bitácora!C9</f>
        <v>29</v>
      </c>
      <c r="D7" s="3" t="str">
        <f>Bitácora!M9</f>
        <v>PFMP03120</v>
      </c>
      <c r="E7" s="3">
        <f>Bitácora!N9</f>
        <v>0</v>
      </c>
      <c r="F7" s="3">
        <f>Bitácora!O9</f>
        <v>0</v>
      </c>
      <c r="G7" s="3" t="str">
        <f>Bitácora!Q9</f>
        <v>PFMP03120</v>
      </c>
      <c r="H7" s="3">
        <f>Bitácora!R9</f>
        <v>5560</v>
      </c>
    </row>
    <row r="8" spans="1:8" hidden="1" x14ac:dyDescent="0.2">
      <c r="A8" s="7">
        <f>Bitácora!A10</f>
        <v>45852</v>
      </c>
      <c r="B8" s="3" t="str">
        <f>Bitácora!B10</f>
        <v>Lidia-Idalia-Lidia</v>
      </c>
      <c r="C8" s="3">
        <f>Bitácora!C10</f>
        <v>55</v>
      </c>
      <c r="D8" s="3" t="str">
        <f>Bitácora!M10</f>
        <v>PDMP04005</v>
      </c>
      <c r="E8" s="3">
        <f>Bitácora!N10</f>
        <v>0</v>
      </c>
      <c r="F8" s="3">
        <f>Bitácora!O10</f>
        <v>0</v>
      </c>
      <c r="G8" s="3" t="str">
        <f>Bitácora!Q10</f>
        <v>PDMP04005</v>
      </c>
      <c r="H8" s="3">
        <f>Bitácora!R10</f>
        <v>5563</v>
      </c>
    </row>
    <row r="9" spans="1:8" hidden="1" x14ac:dyDescent="0.2">
      <c r="A9" s="7">
        <f>Bitácora!A11</f>
        <v>45852</v>
      </c>
      <c r="B9" s="3" t="str">
        <f>Bitácora!B11</f>
        <v>Lidia-Idalia-Lidia</v>
      </c>
      <c r="C9" s="3">
        <f>Bitácora!C11</f>
        <v>75</v>
      </c>
      <c r="D9" s="3" t="str">
        <f>Bitácora!M11</f>
        <v>PDMP50006</v>
      </c>
      <c r="E9" s="3">
        <f>Bitácora!N11</f>
        <v>0</v>
      </c>
      <c r="F9" s="3">
        <f>Bitácora!O11</f>
        <v>0</v>
      </c>
      <c r="G9" s="3" t="str">
        <f>Bitácora!Q11</f>
        <v>PDMP50006</v>
      </c>
      <c r="H9" s="3">
        <f>Bitácora!R11</f>
        <v>5563</v>
      </c>
    </row>
    <row r="10" spans="1:8" hidden="1" x14ac:dyDescent="0.2">
      <c r="A10" s="7">
        <f>Bitácora!A12</f>
        <v>45852</v>
      </c>
      <c r="B10" s="3" t="str">
        <f>Bitácora!B12</f>
        <v>Lidia-Idalia-Lidia</v>
      </c>
      <c r="C10" s="3">
        <f>Bitácora!C12</f>
        <v>46</v>
      </c>
      <c r="D10" s="3" t="str">
        <f>Bitácora!M12</f>
        <v>PSMP61009</v>
      </c>
      <c r="E10" s="3">
        <f>Bitácora!N12</f>
        <v>0</v>
      </c>
      <c r="F10" s="3">
        <f>Bitácora!O12</f>
        <v>0</v>
      </c>
      <c r="G10" s="3" t="str">
        <f>Bitácora!Q12</f>
        <v>PSMP61009</v>
      </c>
      <c r="H10" s="3">
        <f>Bitácora!R12</f>
        <v>5563</v>
      </c>
    </row>
    <row r="11" spans="1:8" hidden="1" x14ac:dyDescent="0.2">
      <c r="A11" s="7">
        <f>Bitácora!A13</f>
        <v>45853</v>
      </c>
      <c r="B11" s="3" t="str">
        <f>Bitácora!B13</f>
        <v>Lidia-Idalia-Lidia</v>
      </c>
      <c r="C11" s="3">
        <f>Bitácora!C13</f>
        <v>141</v>
      </c>
      <c r="D11" s="3" t="str">
        <f>Bitácora!M13</f>
        <v>PDMP50006</v>
      </c>
      <c r="E11" s="3">
        <f>Bitácora!N13</f>
        <v>0</v>
      </c>
      <c r="F11" s="3">
        <f>Bitácora!O13</f>
        <v>0</v>
      </c>
      <c r="G11" s="3" t="str">
        <f>Bitácora!Q13</f>
        <v>PDMP50006</v>
      </c>
      <c r="H11" s="3">
        <f>Bitácora!R13</f>
        <v>5564</v>
      </c>
    </row>
    <row r="12" spans="1:8" hidden="1" x14ac:dyDescent="0.2">
      <c r="A12" s="7">
        <f>Bitácora!A14</f>
        <v>45854</v>
      </c>
      <c r="B12" s="3" t="str">
        <f>Bitácora!B14</f>
        <v>Misael</v>
      </c>
      <c r="C12" s="3">
        <f>Bitácora!C14</f>
        <v>20</v>
      </c>
      <c r="D12" s="3" t="str">
        <f>Bitácora!M14</f>
        <v>PPCA01039</v>
      </c>
      <c r="E12" s="3">
        <f>Bitácora!N14</f>
        <v>0</v>
      </c>
      <c r="F12" s="3">
        <f>Bitácora!O14</f>
        <v>0</v>
      </c>
      <c r="G12" s="3" t="str">
        <f>Bitácora!Q14</f>
        <v>PPCA01039</v>
      </c>
      <c r="H12" s="3">
        <f>Bitácora!R14</f>
        <v>5565</v>
      </c>
    </row>
    <row r="13" spans="1:8" hidden="1" x14ac:dyDescent="0.2">
      <c r="A13" s="7">
        <f>Bitácora!A15</f>
        <v>45854</v>
      </c>
      <c r="B13" s="3" t="str">
        <f>Bitácora!B15</f>
        <v>Misael</v>
      </c>
      <c r="C13" s="3">
        <f>Bitácora!C15</f>
        <v>11</v>
      </c>
      <c r="D13" s="3" t="str">
        <f>Bitácora!M15</f>
        <v>PSMP03011</v>
      </c>
      <c r="E13" s="3">
        <f>Bitácora!N15</f>
        <v>0</v>
      </c>
      <c r="F13" s="3">
        <f>Bitácora!O15</f>
        <v>0</v>
      </c>
      <c r="G13" s="3" t="str">
        <f>Bitácora!Q15</f>
        <v>PSMP03011</v>
      </c>
      <c r="H13" s="3">
        <f>Bitácora!R15</f>
        <v>5565</v>
      </c>
    </row>
    <row r="14" spans="1:8" hidden="1" x14ac:dyDescent="0.2">
      <c r="A14" s="7">
        <f>Bitácora!A16</f>
        <v>45854</v>
      </c>
      <c r="B14" s="3" t="str">
        <f>Bitácora!B16</f>
        <v>Misael</v>
      </c>
      <c r="C14" s="3">
        <f>Bitácora!C16</f>
        <v>10</v>
      </c>
      <c r="D14" s="3" t="str">
        <f>Bitácora!M16</f>
        <v>PAMP04021</v>
      </c>
      <c r="E14" s="3">
        <f>Bitácora!N16</f>
        <v>0</v>
      </c>
      <c r="F14" s="3">
        <f>Bitácora!O16</f>
        <v>0</v>
      </c>
      <c r="G14" s="3" t="str">
        <f>Bitácora!Q16</f>
        <v>PAMP04021</v>
      </c>
      <c r="H14" s="3">
        <f>Bitácora!R16</f>
        <v>5565</v>
      </c>
    </row>
    <row r="15" spans="1:8" x14ac:dyDescent="0.2">
      <c r="A15" s="7">
        <f>Bitácora!A17</f>
        <v>45855</v>
      </c>
      <c r="B15" s="3" t="str">
        <f>Bitácora!B17</f>
        <v>Liliam-Idalia</v>
      </c>
      <c r="C15" s="3">
        <f>Bitácora!C17</f>
        <v>20</v>
      </c>
      <c r="D15" s="3" t="str">
        <f>Bitácora!M17</f>
        <v>PPBP04002</v>
      </c>
      <c r="E15" s="3" t="str">
        <f>Bitácora!N17</f>
        <v>40 palmeras arecas de bolsa 9*12</v>
      </c>
      <c r="F15" s="3" t="str">
        <f>Bitácora!O17</f>
        <v>20 palmeras arecas MP#9</v>
      </c>
      <c r="G15" s="3" t="str">
        <f>Bitácora!Q17</f>
        <v>PPMP09002</v>
      </c>
      <c r="H15" s="3">
        <f>Bitácora!R17</f>
        <v>5566</v>
      </c>
    </row>
    <row r="16" spans="1:8" hidden="1" x14ac:dyDescent="0.2">
      <c r="A16" s="7">
        <f>Bitácora!A18</f>
        <v>45855</v>
      </c>
      <c r="B16" s="3" t="str">
        <f>Bitácora!B18</f>
        <v>Liliam-Idalia</v>
      </c>
      <c r="C16" s="3">
        <f>Bitácora!C18</f>
        <v>10</v>
      </c>
      <c r="D16" s="3" t="str">
        <f>Bitácora!M18</f>
        <v>PPMP06029</v>
      </c>
      <c r="E16" s="3">
        <f>Bitácora!N18</f>
        <v>0</v>
      </c>
      <c r="F16" s="3">
        <f>Bitácora!O18</f>
        <v>0</v>
      </c>
      <c r="G16" s="3" t="str">
        <f>Bitácora!Q18</f>
        <v>PPMP06029</v>
      </c>
      <c r="H16" s="3">
        <f>Bitácora!R18</f>
        <v>5566</v>
      </c>
    </row>
    <row r="17" spans="1:8" hidden="1" x14ac:dyDescent="0.2">
      <c r="A17" s="7">
        <f>Bitácora!A19</f>
        <v>45855</v>
      </c>
      <c r="B17" s="3" t="str">
        <f>Bitácora!B19</f>
        <v>Alejandro</v>
      </c>
      <c r="C17" s="3">
        <f>Bitácora!C19</f>
        <v>30</v>
      </c>
      <c r="D17" s="3" t="str">
        <f>Bitácora!M19</f>
        <v>PAMP01020</v>
      </c>
      <c r="E17" s="3">
        <f>Bitácora!N19</f>
        <v>0</v>
      </c>
      <c r="F17" s="3">
        <f>Bitácora!O19</f>
        <v>0</v>
      </c>
      <c r="G17" s="3" t="str">
        <f>Bitácora!Q19</f>
        <v>PAMP01020</v>
      </c>
      <c r="H17" s="3">
        <f>Bitácora!R19</f>
        <v>5566</v>
      </c>
    </row>
    <row r="18" spans="1:8" hidden="1" x14ac:dyDescent="0.2">
      <c r="A18" s="7">
        <f>Bitácora!A20</f>
        <v>45861</v>
      </c>
      <c r="B18" s="3" t="str">
        <f>Bitácora!B20</f>
        <v>Edwin</v>
      </c>
      <c r="C18" s="3">
        <f>Bitácora!C20</f>
        <v>30</v>
      </c>
      <c r="D18" s="3" t="str">
        <f>Bitácora!M20</f>
        <v>PFMP11020</v>
      </c>
      <c r="E18" s="3">
        <f>Bitácora!N20</f>
        <v>0</v>
      </c>
      <c r="F18" s="3">
        <f>Bitácora!O20</f>
        <v>0</v>
      </c>
      <c r="G18" s="3" t="str">
        <f>Bitácora!Q20</f>
        <v>PFMP11020</v>
      </c>
      <c r="H18" s="3">
        <f>Bitácora!R20</f>
        <v>6569</v>
      </c>
    </row>
    <row r="19" spans="1:8" hidden="1" x14ac:dyDescent="0.2">
      <c r="A19" s="7">
        <f>Bitácora!A21</f>
        <v>45862</v>
      </c>
      <c r="B19" s="3" t="str">
        <f>Bitácora!B21</f>
        <v>Liliam-Idalia-Edwin</v>
      </c>
      <c r="C19" s="3">
        <f>Bitácora!C21</f>
        <v>69</v>
      </c>
      <c r="D19" s="3" t="str">
        <f>Bitácora!M21</f>
        <v>PAMP01020</v>
      </c>
      <c r="E19" s="3">
        <f>Bitácora!N21</f>
        <v>0</v>
      </c>
      <c r="F19" s="3">
        <f>Bitácora!O21</f>
        <v>0</v>
      </c>
      <c r="G19" s="3" t="str">
        <f>Bitácora!Q21</f>
        <v>PAMP01020</v>
      </c>
      <c r="H19" s="3">
        <f>Bitácora!R21</f>
        <v>5570</v>
      </c>
    </row>
    <row r="20" spans="1:8" hidden="1" x14ac:dyDescent="0.2">
      <c r="A20" s="7">
        <f>Bitácora!A22</f>
        <v>45862</v>
      </c>
      <c r="B20" s="3" t="str">
        <f>Bitácora!B22</f>
        <v>Liliam-Idalia-Edwin</v>
      </c>
      <c r="C20" s="3">
        <f>Bitácora!C22</f>
        <v>3</v>
      </c>
      <c r="D20" s="3" t="str">
        <f>Bitácora!M22</f>
        <v>PFMP11020</v>
      </c>
      <c r="E20" s="3">
        <f>Bitácora!N22</f>
        <v>0</v>
      </c>
      <c r="F20" s="3">
        <f>Bitácora!O22</f>
        <v>0</v>
      </c>
      <c r="G20" s="3" t="str">
        <f>Bitácora!Q22</f>
        <v>PFMP11020</v>
      </c>
      <c r="H20" s="3">
        <f>Bitácora!R22</f>
        <v>5570</v>
      </c>
    </row>
    <row r="21" spans="1:8" hidden="1" x14ac:dyDescent="0.2">
      <c r="A21" s="7">
        <f>Bitácora!A23</f>
        <v>45866</v>
      </c>
      <c r="B21" s="3" t="str">
        <f>Bitácora!B23</f>
        <v>Misael-Julio-Liliam-idalia</v>
      </c>
      <c r="C21" s="3">
        <f>Bitácora!C23</f>
        <v>15</v>
      </c>
      <c r="D21" s="3" t="str">
        <f>Bitácora!M23</f>
        <v>PQCA01001</v>
      </c>
      <c r="E21" s="3">
        <f>Bitácora!N23</f>
        <v>0</v>
      </c>
      <c r="F21" s="3">
        <f>Bitácora!O23</f>
        <v>0</v>
      </c>
      <c r="G21" s="3" t="str">
        <f>Bitácora!Q23</f>
        <v>PQCA01001</v>
      </c>
      <c r="H21" s="3">
        <f>Bitácora!R23</f>
        <v>5572</v>
      </c>
    </row>
    <row r="22" spans="1:8" hidden="1" x14ac:dyDescent="0.2">
      <c r="A22" s="7">
        <f>Bitácora!A24</f>
        <v>45866</v>
      </c>
      <c r="B22" s="3" t="str">
        <f>Bitácora!B24</f>
        <v>Misael-Julio-Liliam-idalia</v>
      </c>
      <c r="C22" s="3">
        <f>Bitácora!C24</f>
        <v>13</v>
      </c>
      <c r="D22" s="3" t="str">
        <f>Bitácora!M24</f>
        <v>PPCA01039</v>
      </c>
      <c r="E22" s="3">
        <f>Bitácora!N24</f>
        <v>0</v>
      </c>
      <c r="F22" s="3">
        <f>Bitácora!O24</f>
        <v>0</v>
      </c>
      <c r="G22" s="3" t="str">
        <f>Bitácora!Q24</f>
        <v>PPCA01039</v>
      </c>
      <c r="H22" s="3">
        <f>Bitácora!R24</f>
        <v>5572</v>
      </c>
    </row>
    <row r="23" spans="1:8" hidden="1" x14ac:dyDescent="0.2">
      <c r="A23" s="7">
        <f>Bitácora!A25</f>
        <v>45867</v>
      </c>
      <c r="B23" s="3" t="str">
        <f>Bitácora!B25</f>
        <v>Joel</v>
      </c>
      <c r="C23" s="3">
        <f>Bitácora!C25</f>
        <v>100</v>
      </c>
      <c r="D23" s="3" t="str">
        <f>Bitácora!M25</f>
        <v>PDMP50006</v>
      </c>
      <c r="E23" s="3">
        <f>Bitácora!N25</f>
        <v>0</v>
      </c>
      <c r="F23" s="3">
        <f>Bitácora!O25</f>
        <v>0</v>
      </c>
      <c r="G23" s="3" t="str">
        <f>Bitácora!Q25</f>
        <v>PDMP50006</v>
      </c>
      <c r="H23" s="3">
        <f>Bitácora!R25</f>
        <v>5573</v>
      </c>
    </row>
    <row r="24" spans="1:8" hidden="1" x14ac:dyDescent="0.2">
      <c r="A24" s="7">
        <f>Bitácora!A26</f>
        <v>45869</v>
      </c>
      <c r="B24" s="3" t="str">
        <f>Bitácora!B26</f>
        <v>Joel-william- Julio</v>
      </c>
      <c r="C24" s="3">
        <f>Bitácora!C26</f>
        <v>125</v>
      </c>
      <c r="D24" s="3" t="str">
        <f>Bitácora!M26</f>
        <v>PPMP06029</v>
      </c>
      <c r="E24" s="3">
        <f>Bitácora!N26</f>
        <v>0</v>
      </c>
      <c r="F24" s="3">
        <f>Bitácora!O26</f>
        <v>0</v>
      </c>
      <c r="G24" s="3" t="str">
        <f>Bitácora!Q26</f>
        <v>PPMP06029</v>
      </c>
      <c r="H24" s="3">
        <f>Bitácora!R26</f>
        <v>5574</v>
      </c>
    </row>
    <row r="25" spans="1:8" hidden="1" x14ac:dyDescent="0.2">
      <c r="A25" s="7">
        <f>Bitácora!A27</f>
        <v>45869</v>
      </c>
      <c r="B25" s="3" t="str">
        <f>Bitácora!B27</f>
        <v>Joel-william- Julio</v>
      </c>
      <c r="C25" s="3">
        <f>Bitácora!C27</f>
        <v>25</v>
      </c>
      <c r="D25" s="3">
        <f>Bitácora!M27</f>
        <v>0</v>
      </c>
      <c r="E25" s="3">
        <f>Bitácora!N27</f>
        <v>0</v>
      </c>
      <c r="F25" s="3">
        <f>Bitácora!O27</f>
        <v>0</v>
      </c>
      <c r="G25" s="3">
        <f>Bitácora!Q27</f>
        <v>0</v>
      </c>
      <c r="H25" s="3">
        <f>Bitácora!R27</f>
        <v>0</v>
      </c>
    </row>
    <row r="26" spans="1:8" hidden="1" x14ac:dyDescent="0.2">
      <c r="A26" s="7">
        <f>Bitácora!A28</f>
        <v>0</v>
      </c>
      <c r="B26" s="3">
        <f>Bitácora!B28</f>
        <v>0</v>
      </c>
      <c r="C26" s="3">
        <f>Bitácora!C28</f>
        <v>0</v>
      </c>
      <c r="D26" s="3">
        <f>Bitácora!M28</f>
        <v>0</v>
      </c>
      <c r="E26" s="3">
        <f>Bitácora!N28</f>
        <v>0</v>
      </c>
      <c r="F26" s="3">
        <f>Bitácora!O28</f>
        <v>0</v>
      </c>
      <c r="G26" s="3">
        <f>Bitácora!Q28</f>
        <v>0</v>
      </c>
      <c r="H26" s="3">
        <f>Bitácora!R28</f>
        <v>0</v>
      </c>
    </row>
    <row r="27" spans="1:8" hidden="1" x14ac:dyDescent="0.2">
      <c r="A27" s="7">
        <f>Bitácora!A29</f>
        <v>0</v>
      </c>
      <c r="B27" s="3">
        <f>Bitácora!B29</f>
        <v>0</v>
      </c>
      <c r="C27" s="3">
        <f>Bitácora!C29</f>
        <v>0</v>
      </c>
      <c r="D27" s="3">
        <f>Bitácora!M29</f>
        <v>0</v>
      </c>
      <c r="E27" s="3">
        <f>Bitácora!N29</f>
        <v>0</v>
      </c>
      <c r="F27" s="3">
        <f>Bitácora!O29</f>
        <v>0</v>
      </c>
      <c r="G27" s="3">
        <f>Bitácora!Q29</f>
        <v>0</v>
      </c>
      <c r="H27" s="3">
        <f>Bitácora!R29</f>
        <v>0</v>
      </c>
    </row>
    <row r="28" spans="1:8" hidden="1" x14ac:dyDescent="0.2">
      <c r="A28" s="7">
        <f>Bitácora!A30</f>
        <v>0</v>
      </c>
      <c r="B28" s="3">
        <f>Bitácora!B30</f>
        <v>0</v>
      </c>
      <c r="C28" s="3">
        <f>Bitácora!C30</f>
        <v>0</v>
      </c>
      <c r="D28" s="3">
        <f>Bitácora!M30</f>
        <v>0</v>
      </c>
      <c r="E28" s="3">
        <f>Bitácora!N30</f>
        <v>0</v>
      </c>
      <c r="F28" s="3">
        <f>Bitácora!O30</f>
        <v>0</v>
      </c>
      <c r="G28" s="3">
        <f>Bitácora!Q30</f>
        <v>0</v>
      </c>
      <c r="H28" s="3">
        <f>Bitácora!R30</f>
        <v>0</v>
      </c>
    </row>
    <row r="29" spans="1:8" hidden="1" x14ac:dyDescent="0.2">
      <c r="A29" s="7">
        <f>Bitácora!A31</f>
        <v>0</v>
      </c>
      <c r="B29" s="3">
        <f>Bitácora!B31</f>
        <v>0</v>
      </c>
      <c r="C29" s="3">
        <f>Bitácora!C31</f>
        <v>0</v>
      </c>
      <c r="D29" s="3">
        <f>Bitácora!M31</f>
        <v>0</v>
      </c>
      <c r="E29" s="3">
        <f>Bitácora!N31</f>
        <v>0</v>
      </c>
      <c r="F29" s="3">
        <f>Bitácora!O31</f>
        <v>0</v>
      </c>
      <c r="G29" s="3">
        <f>Bitácora!Q31</f>
        <v>0</v>
      </c>
      <c r="H29" s="3">
        <f>Bitácora!R31</f>
        <v>0</v>
      </c>
    </row>
    <row r="30" spans="1:8" hidden="1" x14ac:dyDescent="0.2">
      <c r="A30" s="7">
        <f>Bitácora!A32</f>
        <v>0</v>
      </c>
      <c r="B30" s="3">
        <f>Bitácora!B32</f>
        <v>0</v>
      </c>
      <c r="C30" s="3">
        <f>Bitácora!C32</f>
        <v>0</v>
      </c>
      <c r="D30" s="3">
        <f>Bitácora!M32</f>
        <v>0</v>
      </c>
      <c r="E30" s="3">
        <f>Bitácora!N32</f>
        <v>0</v>
      </c>
      <c r="F30" s="3">
        <f>Bitácora!O32</f>
        <v>0</v>
      </c>
      <c r="G30" s="3">
        <f>Bitácora!Q32</f>
        <v>0</v>
      </c>
      <c r="H30" s="3">
        <f>Bitácora!R32</f>
        <v>0</v>
      </c>
    </row>
    <row r="31" spans="1:8" hidden="1" x14ac:dyDescent="0.2">
      <c r="A31" s="7">
        <f>Bitácora!A33</f>
        <v>0</v>
      </c>
      <c r="B31" s="3">
        <f>Bitácora!B33</f>
        <v>0</v>
      </c>
      <c r="C31" s="3">
        <f>Bitácora!C33</f>
        <v>0</v>
      </c>
      <c r="D31" s="3">
        <f>Bitácora!M33</f>
        <v>0</v>
      </c>
      <c r="E31" s="3">
        <f>Bitácora!N33</f>
        <v>0</v>
      </c>
      <c r="F31" s="3">
        <f>Bitácora!O33</f>
        <v>0</v>
      </c>
      <c r="G31" s="3">
        <f>Bitácora!Q33</f>
        <v>0</v>
      </c>
      <c r="H31" s="3">
        <f>Bitácora!R33</f>
        <v>0</v>
      </c>
    </row>
    <row r="32" spans="1:8" hidden="1" x14ac:dyDescent="0.2">
      <c r="A32" s="7">
        <f>Bitácora!A34</f>
        <v>0</v>
      </c>
      <c r="B32" s="3">
        <f>Bitácora!B34</f>
        <v>0</v>
      </c>
      <c r="C32" s="3">
        <f>Bitácora!C34</f>
        <v>0</v>
      </c>
      <c r="D32" s="3">
        <f>Bitácora!M34</f>
        <v>0</v>
      </c>
      <c r="E32" s="3">
        <f>Bitácora!N34</f>
        <v>0</v>
      </c>
      <c r="F32" s="3">
        <f>Bitácora!O34</f>
        <v>0</v>
      </c>
      <c r="G32" s="3">
        <f>Bitácora!Q34</f>
        <v>0</v>
      </c>
      <c r="H32" s="3">
        <f>Bitácora!R34</f>
        <v>0</v>
      </c>
    </row>
    <row r="33" spans="1:8" hidden="1" x14ac:dyDescent="0.2">
      <c r="A33" s="7">
        <f>Bitácora!A35</f>
        <v>0</v>
      </c>
      <c r="B33" s="3">
        <f>Bitácora!B35</f>
        <v>0</v>
      </c>
      <c r="C33" s="3">
        <f>Bitácora!C35</f>
        <v>0</v>
      </c>
      <c r="D33" s="3">
        <f>Bitácora!M35</f>
        <v>0</v>
      </c>
      <c r="E33" s="3">
        <f>Bitácora!N35</f>
        <v>0</v>
      </c>
      <c r="F33" s="3">
        <f>Bitácora!O35</f>
        <v>0</v>
      </c>
      <c r="G33" s="3">
        <f>Bitácora!Q35</f>
        <v>0</v>
      </c>
      <c r="H33" s="3">
        <f>Bitácora!R35</f>
        <v>0</v>
      </c>
    </row>
    <row r="34" spans="1:8" hidden="1" x14ac:dyDescent="0.2">
      <c r="A34" s="7">
        <f>Bitácora!A36</f>
        <v>0</v>
      </c>
      <c r="B34" s="3">
        <f>Bitácora!B36</f>
        <v>0</v>
      </c>
      <c r="C34" s="3">
        <f>Bitácora!C36</f>
        <v>0</v>
      </c>
      <c r="D34" s="3">
        <f>Bitácora!M36</f>
        <v>0</v>
      </c>
      <c r="E34" s="3">
        <f>Bitácora!N36</f>
        <v>0</v>
      </c>
      <c r="F34" s="3">
        <f>Bitácora!O36</f>
        <v>0</v>
      </c>
      <c r="G34" s="3">
        <f>Bitácora!Q36</f>
        <v>0</v>
      </c>
      <c r="H34" s="3">
        <f>Bitácora!R36</f>
        <v>0</v>
      </c>
    </row>
    <row r="35" spans="1:8" hidden="1" x14ac:dyDescent="0.2">
      <c r="A35" s="7">
        <f>Bitácora!A37</f>
        <v>0</v>
      </c>
      <c r="B35" s="3">
        <f>Bitácora!B37</f>
        <v>0</v>
      </c>
      <c r="C35" s="3">
        <f>Bitácora!C37</f>
        <v>0</v>
      </c>
      <c r="D35" s="3">
        <f>Bitácora!M37</f>
        <v>0</v>
      </c>
      <c r="E35" s="3">
        <f>Bitácora!N37</f>
        <v>0</v>
      </c>
      <c r="F35" s="3">
        <f>Bitácora!O37</f>
        <v>0</v>
      </c>
      <c r="G35" s="3">
        <f>Bitácora!Q37</f>
        <v>0</v>
      </c>
      <c r="H35" s="3">
        <f>Bitácora!R37</f>
        <v>0</v>
      </c>
    </row>
    <row r="36" spans="1:8" hidden="1" x14ac:dyDescent="0.2">
      <c r="A36" s="7">
        <f>Bitácora!A38</f>
        <v>0</v>
      </c>
      <c r="B36" s="3">
        <f>Bitácora!B38</f>
        <v>0</v>
      </c>
      <c r="C36" s="3">
        <f>Bitácora!C38</f>
        <v>0</v>
      </c>
      <c r="D36" s="3">
        <f>Bitácora!M38</f>
        <v>0</v>
      </c>
      <c r="E36" s="3">
        <f>Bitácora!N38</f>
        <v>0</v>
      </c>
      <c r="F36" s="3">
        <f>Bitácora!O38</f>
        <v>0</v>
      </c>
      <c r="G36" s="3">
        <f>Bitácora!Q38</f>
        <v>0</v>
      </c>
      <c r="H36" s="3">
        <f>Bitácora!R38</f>
        <v>0</v>
      </c>
    </row>
    <row r="37" spans="1:8" hidden="1" x14ac:dyDescent="0.2">
      <c r="A37" s="7">
        <f>Bitácora!A39</f>
        <v>0</v>
      </c>
      <c r="B37" s="3">
        <f>Bitácora!B39</f>
        <v>0</v>
      </c>
      <c r="C37" s="3">
        <f>Bitácora!C39</f>
        <v>0</v>
      </c>
      <c r="D37" s="3">
        <f>Bitácora!M39</f>
        <v>0</v>
      </c>
      <c r="E37" s="3">
        <f>Bitácora!N39</f>
        <v>0</v>
      </c>
      <c r="F37" s="3">
        <f>Bitácora!O39</f>
        <v>0</v>
      </c>
      <c r="G37" s="3">
        <f>Bitácora!Q39</f>
        <v>0</v>
      </c>
      <c r="H37" s="3">
        <f>Bitácora!R39</f>
        <v>0</v>
      </c>
    </row>
    <row r="38" spans="1:8" hidden="1" x14ac:dyDescent="0.2">
      <c r="A38" s="7">
        <f>Bitácora!A40</f>
        <v>0</v>
      </c>
      <c r="B38" s="3">
        <f>Bitácora!B40</f>
        <v>0</v>
      </c>
      <c r="C38" s="3">
        <f>Bitácora!C40</f>
        <v>0</v>
      </c>
      <c r="D38" s="3">
        <f>Bitácora!M40</f>
        <v>0</v>
      </c>
      <c r="E38" s="3">
        <f>Bitácora!N40</f>
        <v>0</v>
      </c>
      <c r="F38" s="3">
        <f>Bitácora!O40</f>
        <v>0</v>
      </c>
      <c r="G38" s="3">
        <f>Bitácora!Q40</f>
        <v>0</v>
      </c>
      <c r="H38" s="3">
        <f>Bitácora!R40</f>
        <v>0</v>
      </c>
    </row>
    <row r="39" spans="1:8" hidden="1" x14ac:dyDescent="0.2">
      <c r="A39" s="7">
        <f>Bitácora!A41</f>
        <v>0</v>
      </c>
      <c r="B39" s="3">
        <f>Bitácora!B41</f>
        <v>0</v>
      </c>
      <c r="C39" s="3">
        <f>Bitácora!C41</f>
        <v>0</v>
      </c>
      <c r="D39" s="3">
        <f>Bitácora!M41</f>
        <v>0</v>
      </c>
      <c r="E39" s="3">
        <f>Bitácora!N41</f>
        <v>0</v>
      </c>
      <c r="F39" s="3">
        <f>Bitácora!O41</f>
        <v>0</v>
      </c>
      <c r="G39" s="3">
        <f>Bitácora!Q41</f>
        <v>0</v>
      </c>
      <c r="H39" s="3">
        <f>Bitácora!R41</f>
        <v>0</v>
      </c>
    </row>
    <row r="40" spans="1:8" hidden="1" x14ac:dyDescent="0.2">
      <c r="A40" s="7">
        <f>Bitácora!A42</f>
        <v>0</v>
      </c>
      <c r="B40" s="3">
        <f>Bitácora!B42</f>
        <v>0</v>
      </c>
      <c r="C40" s="3">
        <f>Bitácora!C42</f>
        <v>0</v>
      </c>
      <c r="D40" s="3">
        <f>Bitácora!M42</f>
        <v>0</v>
      </c>
      <c r="E40" s="3">
        <f>Bitácora!N42</f>
        <v>0</v>
      </c>
      <c r="F40" s="3">
        <f>Bitácora!O42</f>
        <v>0</v>
      </c>
      <c r="G40" s="3">
        <f>Bitácora!Q42</f>
        <v>0</v>
      </c>
      <c r="H40" s="3">
        <f>Bitácora!R42</f>
        <v>0</v>
      </c>
    </row>
    <row r="41" spans="1:8" hidden="1" x14ac:dyDescent="0.2">
      <c r="A41" s="7">
        <f>Bitácora!A43</f>
        <v>0</v>
      </c>
      <c r="B41" s="3">
        <f>Bitácora!B43</f>
        <v>0</v>
      </c>
      <c r="C41" s="3">
        <f>Bitácora!C43</f>
        <v>0</v>
      </c>
      <c r="D41" s="3">
        <f>Bitácora!M43</f>
        <v>0</v>
      </c>
      <c r="E41" s="3">
        <f>Bitácora!N43</f>
        <v>0</v>
      </c>
      <c r="F41" s="3">
        <f>Bitácora!O43</f>
        <v>0</v>
      </c>
      <c r="G41" s="3">
        <f>Bitácora!Q43</f>
        <v>0</v>
      </c>
      <c r="H41" s="3">
        <f>Bitácora!R43</f>
        <v>0</v>
      </c>
    </row>
    <row r="42" spans="1:8" hidden="1" x14ac:dyDescent="0.2">
      <c r="A42" s="7">
        <f>Bitácora!A44</f>
        <v>0</v>
      </c>
      <c r="B42" s="3">
        <f>Bitácora!B44</f>
        <v>0</v>
      </c>
      <c r="C42" s="3">
        <f>Bitácora!C44</f>
        <v>0</v>
      </c>
      <c r="D42" s="3">
        <f>Bitácora!M44</f>
        <v>0</v>
      </c>
      <c r="E42" s="3">
        <f>Bitácora!N44</f>
        <v>0</v>
      </c>
      <c r="F42" s="3">
        <f>Bitácora!O44</f>
        <v>0</v>
      </c>
      <c r="G42" s="3">
        <f>Bitácora!Q44</f>
        <v>0</v>
      </c>
      <c r="H42" s="3">
        <f>Bitácora!R44</f>
        <v>0</v>
      </c>
    </row>
    <row r="43" spans="1:8" hidden="1" x14ac:dyDescent="0.2">
      <c r="A43" s="7">
        <f>Bitácora!A45</f>
        <v>0</v>
      </c>
      <c r="B43" s="3">
        <f>Bitácora!B45</f>
        <v>0</v>
      </c>
      <c r="C43" s="3">
        <f>Bitácora!C45</f>
        <v>0</v>
      </c>
      <c r="D43" s="3">
        <f>Bitácora!M45</f>
        <v>0</v>
      </c>
      <c r="E43" s="3">
        <f>Bitácora!N45</f>
        <v>0</v>
      </c>
      <c r="F43" s="3">
        <f>Bitácora!O45</f>
        <v>0</v>
      </c>
      <c r="G43" s="3">
        <f>Bitácora!Q45</f>
        <v>0</v>
      </c>
      <c r="H43" s="3">
        <f>Bitácora!R45</f>
        <v>0</v>
      </c>
    </row>
    <row r="44" spans="1:8" hidden="1" x14ac:dyDescent="0.2">
      <c r="A44" s="7">
        <f>Bitácora!A46</f>
        <v>0</v>
      </c>
      <c r="B44" s="3">
        <f>Bitácora!B46</f>
        <v>0</v>
      </c>
      <c r="C44" s="3">
        <f>Bitácora!C46</f>
        <v>0</v>
      </c>
      <c r="D44" s="3">
        <f>Bitácora!M46</f>
        <v>0</v>
      </c>
      <c r="E44" s="3">
        <f>Bitácora!N46</f>
        <v>0</v>
      </c>
      <c r="F44" s="3">
        <f>Bitácora!O46</f>
        <v>0</v>
      </c>
      <c r="G44" s="3">
        <f>Bitácora!Q46</f>
        <v>0</v>
      </c>
      <c r="H44" s="3">
        <f>Bitácora!R46</f>
        <v>0</v>
      </c>
    </row>
    <row r="45" spans="1:8" hidden="1" x14ac:dyDescent="0.2">
      <c r="A45" s="7">
        <f>Bitácora!A47</f>
        <v>0</v>
      </c>
      <c r="B45" s="3">
        <f>Bitácora!B47</f>
        <v>0</v>
      </c>
      <c r="C45" s="3">
        <f>Bitácora!C47</f>
        <v>0</v>
      </c>
      <c r="D45" s="3">
        <f>Bitácora!M47</f>
        <v>0</v>
      </c>
      <c r="E45" s="3">
        <f>Bitácora!N47</f>
        <v>0</v>
      </c>
      <c r="F45" s="3">
        <f>Bitácora!O47</f>
        <v>0</v>
      </c>
      <c r="G45" s="3">
        <f>Bitácora!Q47</f>
        <v>0</v>
      </c>
      <c r="H45" s="3">
        <f>Bitácora!R47</f>
        <v>0</v>
      </c>
    </row>
    <row r="46" spans="1:8" hidden="1" x14ac:dyDescent="0.2">
      <c r="A46" s="7">
        <f>Bitácora!A48</f>
        <v>0</v>
      </c>
      <c r="B46" s="3">
        <f>Bitácora!B48</f>
        <v>0</v>
      </c>
      <c r="C46" s="3">
        <f>Bitácora!C48</f>
        <v>0</v>
      </c>
      <c r="D46" s="3">
        <f>Bitácora!M48</f>
        <v>0</v>
      </c>
      <c r="E46" s="3">
        <f>Bitácora!N48</f>
        <v>0</v>
      </c>
      <c r="F46" s="3">
        <f>Bitácora!O48</f>
        <v>0</v>
      </c>
      <c r="G46" s="3">
        <f>Bitácora!Q48</f>
        <v>0</v>
      </c>
      <c r="H46" s="3">
        <f>Bitácora!R48</f>
        <v>0</v>
      </c>
    </row>
    <row r="47" spans="1:8" hidden="1" x14ac:dyDescent="0.2">
      <c r="A47" s="7">
        <f>Bitácora!A49</f>
        <v>0</v>
      </c>
      <c r="B47" s="3">
        <f>Bitácora!B49</f>
        <v>0</v>
      </c>
      <c r="C47" s="3">
        <f>Bitácora!C49</f>
        <v>0</v>
      </c>
      <c r="D47" s="3">
        <f>Bitácora!M49</f>
        <v>0</v>
      </c>
      <c r="E47" s="3">
        <f>Bitácora!N49</f>
        <v>0</v>
      </c>
      <c r="F47" s="3">
        <f>Bitácora!O49</f>
        <v>0</v>
      </c>
      <c r="G47" s="3">
        <f>Bitácora!Q49</f>
        <v>0</v>
      </c>
      <c r="H47" s="3">
        <f>Bitácora!R49</f>
        <v>0</v>
      </c>
    </row>
    <row r="48" spans="1:8" hidden="1" x14ac:dyDescent="0.2">
      <c r="A48" s="7">
        <f>Bitácora!A50</f>
        <v>0</v>
      </c>
      <c r="B48" s="3">
        <f>Bitácora!B50</f>
        <v>0</v>
      </c>
      <c r="C48" s="3">
        <f>Bitácora!C50</f>
        <v>0</v>
      </c>
      <c r="D48" s="3">
        <f>Bitácora!M50</f>
        <v>0</v>
      </c>
      <c r="E48" s="3">
        <f>Bitácora!N50</f>
        <v>0</v>
      </c>
      <c r="F48" s="3">
        <f>Bitácora!O50</f>
        <v>0</v>
      </c>
      <c r="G48" s="3">
        <f>Bitácora!Q50</f>
        <v>0</v>
      </c>
      <c r="H48" s="3">
        <f>Bitácora!R50</f>
        <v>0</v>
      </c>
    </row>
    <row r="49" spans="1:8" hidden="1" x14ac:dyDescent="0.2">
      <c r="A49" s="7">
        <f>Bitácora!A51</f>
        <v>0</v>
      </c>
      <c r="B49" s="3">
        <f>Bitácora!B51</f>
        <v>0</v>
      </c>
      <c r="C49" s="3">
        <f>Bitácora!C51</f>
        <v>0</v>
      </c>
      <c r="D49" s="3">
        <f>Bitácora!M51</f>
        <v>0</v>
      </c>
      <c r="E49" s="3">
        <f>Bitácora!N51</f>
        <v>0</v>
      </c>
      <c r="F49" s="3">
        <f>Bitácora!O51</f>
        <v>0</v>
      </c>
      <c r="G49" s="3">
        <f>Bitácora!Q51</f>
        <v>0</v>
      </c>
      <c r="H49" s="3">
        <f>Bitácora!R51</f>
        <v>0</v>
      </c>
    </row>
    <row r="50" spans="1:8" hidden="1" x14ac:dyDescent="0.2">
      <c r="A50" s="7">
        <f>Bitácora!A52</f>
        <v>0</v>
      </c>
      <c r="B50" s="3">
        <f>Bitácora!B52</f>
        <v>0</v>
      </c>
      <c r="C50" s="3">
        <f>Bitácora!C52</f>
        <v>0</v>
      </c>
      <c r="D50" s="3">
        <f>Bitácora!M52</f>
        <v>0</v>
      </c>
      <c r="E50" s="3">
        <f>Bitácora!N52</f>
        <v>0</v>
      </c>
      <c r="F50" s="3">
        <f>Bitácora!O52</f>
        <v>0</v>
      </c>
      <c r="G50" s="3">
        <f>Bitácora!Q52</f>
        <v>0</v>
      </c>
      <c r="H50" s="3">
        <f>Bitácora!R52</f>
        <v>0</v>
      </c>
    </row>
    <row r="51" spans="1:8" hidden="1" x14ac:dyDescent="0.2">
      <c r="A51" s="7">
        <f>Bitácora!A53</f>
        <v>0</v>
      </c>
      <c r="B51" s="3">
        <f>Bitácora!B53</f>
        <v>0</v>
      </c>
      <c r="C51" s="3">
        <f>Bitácora!C53</f>
        <v>0</v>
      </c>
      <c r="D51" s="3">
        <f>Bitácora!M53</f>
        <v>0</v>
      </c>
      <c r="E51" s="3">
        <f>Bitácora!N53</f>
        <v>0</v>
      </c>
      <c r="F51" s="3">
        <f>Bitácora!O53</f>
        <v>0</v>
      </c>
      <c r="G51" s="3">
        <f>Bitácora!Q53</f>
        <v>0</v>
      </c>
      <c r="H51" s="3">
        <f>Bitácora!R53</f>
        <v>0</v>
      </c>
    </row>
    <row r="52" spans="1:8" hidden="1" x14ac:dyDescent="0.2">
      <c r="A52" s="7">
        <f>Bitácora!A54</f>
        <v>0</v>
      </c>
      <c r="B52" s="3">
        <f>Bitácora!B54</f>
        <v>0</v>
      </c>
      <c r="C52" s="3">
        <f>Bitácora!C54</f>
        <v>0</v>
      </c>
      <c r="D52" s="3">
        <f>Bitácora!M54</f>
        <v>0</v>
      </c>
      <c r="E52" s="3">
        <f>Bitácora!N54</f>
        <v>0</v>
      </c>
      <c r="F52" s="3">
        <f>Bitácora!O54</f>
        <v>0</v>
      </c>
      <c r="G52" s="3">
        <f>Bitácora!Q54</f>
        <v>0</v>
      </c>
      <c r="H52" s="3">
        <f>Bitácora!R54</f>
        <v>0</v>
      </c>
    </row>
    <row r="53" spans="1:8" hidden="1" x14ac:dyDescent="0.2">
      <c r="A53" s="7">
        <f>Bitácora!A55</f>
        <v>0</v>
      </c>
      <c r="B53" s="3">
        <f>Bitácora!B55</f>
        <v>0</v>
      </c>
      <c r="C53" s="3">
        <f>Bitácora!C55</f>
        <v>0</v>
      </c>
      <c r="D53" s="3">
        <f>Bitácora!M55</f>
        <v>0</v>
      </c>
      <c r="E53" s="3">
        <f>Bitácora!N55</f>
        <v>0</v>
      </c>
      <c r="F53" s="3">
        <f>Bitácora!O55</f>
        <v>0</v>
      </c>
      <c r="G53" s="3">
        <f>Bitácora!Q55</f>
        <v>0</v>
      </c>
      <c r="H53" s="3">
        <f>Bitácora!R55</f>
        <v>0</v>
      </c>
    </row>
    <row r="54" spans="1:8" hidden="1" x14ac:dyDescent="0.2">
      <c r="A54" s="7">
        <f>Bitácora!A56</f>
        <v>0</v>
      </c>
      <c r="B54" s="3">
        <f>Bitácora!B56</f>
        <v>0</v>
      </c>
      <c r="C54" s="3">
        <f>Bitácora!C56</f>
        <v>0</v>
      </c>
      <c r="D54" s="3">
        <f>Bitácora!M56</f>
        <v>0</v>
      </c>
      <c r="E54" s="3">
        <f>Bitácora!N56</f>
        <v>0</v>
      </c>
      <c r="F54" s="3">
        <f>Bitácora!O56</f>
        <v>0</v>
      </c>
      <c r="G54" s="3">
        <f>Bitácora!Q56</f>
        <v>0</v>
      </c>
      <c r="H54" s="3">
        <f>Bitácora!R56</f>
        <v>0</v>
      </c>
    </row>
    <row r="55" spans="1:8" hidden="1" x14ac:dyDescent="0.2">
      <c r="A55" s="7">
        <f>Bitácora!A57</f>
        <v>0</v>
      </c>
      <c r="B55" s="3">
        <f>Bitácora!B57</f>
        <v>0</v>
      </c>
      <c r="C55" s="3">
        <f>Bitácora!C57</f>
        <v>0</v>
      </c>
      <c r="D55" s="3">
        <f>Bitácora!M57</f>
        <v>0</v>
      </c>
      <c r="E55" s="3">
        <f>Bitácora!N57</f>
        <v>0</v>
      </c>
      <c r="F55" s="3">
        <f>Bitácora!O57</f>
        <v>0</v>
      </c>
      <c r="G55" s="3">
        <f>Bitácora!Q57</f>
        <v>0</v>
      </c>
      <c r="H55" s="3">
        <f>Bitácora!R57</f>
        <v>0</v>
      </c>
    </row>
    <row r="56" spans="1:8" hidden="1" x14ac:dyDescent="0.2">
      <c r="A56" s="7">
        <f>Bitácora!A58</f>
        <v>0</v>
      </c>
      <c r="B56" s="3">
        <f>Bitácora!B58</f>
        <v>0</v>
      </c>
      <c r="C56" s="3">
        <f>Bitácora!C58</f>
        <v>0</v>
      </c>
      <c r="D56" s="3">
        <f>Bitácora!M58</f>
        <v>0</v>
      </c>
      <c r="E56" s="3">
        <f>Bitácora!N58</f>
        <v>0</v>
      </c>
      <c r="F56" s="3">
        <f>Bitácora!O58</f>
        <v>0</v>
      </c>
      <c r="G56" s="3">
        <f>Bitácora!Q58</f>
        <v>0</v>
      </c>
      <c r="H56" s="3">
        <f>Bitácora!R58</f>
        <v>0</v>
      </c>
    </row>
    <row r="57" spans="1:8" hidden="1" x14ac:dyDescent="0.2">
      <c r="A57" s="7">
        <f>Bitácora!A59</f>
        <v>0</v>
      </c>
      <c r="B57" s="3">
        <f>Bitácora!B59</f>
        <v>0</v>
      </c>
      <c r="C57" s="3">
        <f>Bitácora!C59</f>
        <v>0</v>
      </c>
      <c r="D57" s="3">
        <f>Bitácora!M59</f>
        <v>0</v>
      </c>
      <c r="E57" s="3">
        <f>Bitácora!N59</f>
        <v>0</v>
      </c>
      <c r="F57" s="3">
        <f>Bitácora!O59</f>
        <v>0</v>
      </c>
      <c r="G57" s="3">
        <f>Bitácora!Q59</f>
        <v>0</v>
      </c>
      <c r="H57" s="3">
        <f>Bitácora!R59</f>
        <v>0</v>
      </c>
    </row>
    <row r="58" spans="1:8" hidden="1" x14ac:dyDescent="0.2">
      <c r="A58" s="7">
        <f>Bitácora!A60</f>
        <v>0</v>
      </c>
      <c r="B58" s="3">
        <f>Bitácora!B60</f>
        <v>0</v>
      </c>
      <c r="C58" s="3">
        <f>Bitácora!C60</f>
        <v>0</v>
      </c>
      <c r="D58" s="3">
        <f>Bitácora!M60</f>
        <v>0</v>
      </c>
      <c r="E58" s="3">
        <f>Bitácora!N60</f>
        <v>0</v>
      </c>
      <c r="F58" s="3">
        <f>Bitácora!O60</f>
        <v>0</v>
      </c>
      <c r="G58" s="3">
        <f>Bitácora!Q60</f>
        <v>0</v>
      </c>
      <c r="H58" s="3">
        <f>Bitácora!R60</f>
        <v>0</v>
      </c>
    </row>
    <row r="59" spans="1:8" hidden="1" x14ac:dyDescent="0.2">
      <c r="A59" s="7">
        <f>Bitácora!A61</f>
        <v>0</v>
      </c>
      <c r="B59" s="3">
        <f>Bitácora!B61</f>
        <v>0</v>
      </c>
      <c r="C59" s="3">
        <f>Bitácora!C61</f>
        <v>0</v>
      </c>
      <c r="D59" s="3">
        <f>Bitácora!M61</f>
        <v>0</v>
      </c>
      <c r="E59" s="3">
        <f>Bitácora!N61</f>
        <v>0</v>
      </c>
      <c r="F59" s="3">
        <f>Bitácora!O61</f>
        <v>0</v>
      </c>
      <c r="G59" s="3">
        <f>Bitácora!Q61</f>
        <v>0</v>
      </c>
      <c r="H59" s="3">
        <f>Bitácora!R61</f>
        <v>0</v>
      </c>
    </row>
    <row r="60" spans="1:8" hidden="1" x14ac:dyDescent="0.2">
      <c r="A60" s="7" t="e">
        <f>Bitácora!#REF!</f>
        <v>#REF!</v>
      </c>
      <c r="B60" s="3" t="e">
        <f>Bitácora!#REF!</f>
        <v>#REF!</v>
      </c>
      <c r="C60" s="3" t="e">
        <f>Bitácora!#REF!</f>
        <v>#REF!</v>
      </c>
      <c r="D60" s="3" t="e">
        <f>Bitácora!#REF!</f>
        <v>#REF!</v>
      </c>
      <c r="E60" s="3" t="e">
        <f>Bitácora!#REF!</f>
        <v>#REF!</v>
      </c>
      <c r="F60" s="3" t="e">
        <f>Bitácora!#REF!</f>
        <v>#REF!</v>
      </c>
      <c r="G60" s="3" t="e">
        <f>Bitácora!#REF!</f>
        <v>#REF!</v>
      </c>
      <c r="H60" s="3" t="e">
        <f>Bitácora!#REF!</f>
        <v>#REF!</v>
      </c>
    </row>
    <row r="61" spans="1:8" hidden="1" x14ac:dyDescent="0.2">
      <c r="A61" s="7" t="e">
        <f>Bitácora!#REF!</f>
        <v>#REF!</v>
      </c>
      <c r="B61" s="3" t="e">
        <f>Bitácora!#REF!</f>
        <v>#REF!</v>
      </c>
      <c r="C61" s="3" t="e">
        <f>Bitácora!#REF!</f>
        <v>#REF!</v>
      </c>
      <c r="D61" s="3" t="e">
        <f>Bitácora!#REF!</f>
        <v>#REF!</v>
      </c>
      <c r="E61" s="3" t="e">
        <f>Bitácora!#REF!</f>
        <v>#REF!</v>
      </c>
      <c r="F61" s="3" t="e">
        <f>Bitácora!#REF!</f>
        <v>#REF!</v>
      </c>
      <c r="G61" s="3" t="e">
        <f>Bitácora!#REF!</f>
        <v>#REF!</v>
      </c>
      <c r="H61" s="3" t="e">
        <f>Bitácora!#REF!</f>
        <v>#REF!</v>
      </c>
    </row>
    <row r="62" spans="1:8" hidden="1" x14ac:dyDescent="0.2">
      <c r="A62" s="7" t="e">
        <f>Bitácora!#REF!</f>
        <v>#REF!</v>
      </c>
      <c r="B62" s="3" t="e">
        <f>Bitácora!#REF!</f>
        <v>#REF!</v>
      </c>
      <c r="C62" s="3" t="e">
        <f>Bitácora!#REF!</f>
        <v>#REF!</v>
      </c>
      <c r="D62" s="3" t="e">
        <f>Bitácora!#REF!</f>
        <v>#REF!</v>
      </c>
      <c r="E62" s="3" t="e">
        <f>Bitácora!#REF!</f>
        <v>#REF!</v>
      </c>
      <c r="F62" s="3" t="e">
        <f>Bitácora!#REF!</f>
        <v>#REF!</v>
      </c>
      <c r="G62" s="3" t="e">
        <f>Bitácora!#REF!</f>
        <v>#REF!</v>
      </c>
      <c r="H62" s="3" t="e">
        <f>Bitácora!#REF!</f>
        <v>#REF!</v>
      </c>
    </row>
    <row r="63" spans="1:8" hidden="1" x14ac:dyDescent="0.2">
      <c r="A63" s="7" t="e">
        <f>Bitácora!#REF!</f>
        <v>#REF!</v>
      </c>
      <c r="B63" s="3" t="e">
        <f>Bitácora!#REF!</f>
        <v>#REF!</v>
      </c>
      <c r="C63" s="3" t="e">
        <f>Bitácora!#REF!</f>
        <v>#REF!</v>
      </c>
      <c r="D63" s="3" t="e">
        <f>Bitácora!#REF!</f>
        <v>#REF!</v>
      </c>
      <c r="E63" s="3" t="e">
        <f>Bitácora!#REF!</f>
        <v>#REF!</v>
      </c>
      <c r="F63" s="3" t="e">
        <f>Bitácora!#REF!</f>
        <v>#REF!</v>
      </c>
      <c r="G63" s="3" t="e">
        <f>Bitácora!#REF!</f>
        <v>#REF!</v>
      </c>
      <c r="H63" s="3" t="e">
        <f>Bitácora!#REF!</f>
        <v>#REF!</v>
      </c>
    </row>
    <row r="64" spans="1:8" hidden="1" x14ac:dyDescent="0.2">
      <c r="A64" s="7" t="e">
        <f>Bitácora!#REF!</f>
        <v>#REF!</v>
      </c>
      <c r="B64" s="3" t="e">
        <f>Bitácora!#REF!</f>
        <v>#REF!</v>
      </c>
      <c r="C64" s="3" t="e">
        <f>Bitácora!#REF!</f>
        <v>#REF!</v>
      </c>
      <c r="D64" s="3" t="e">
        <f>Bitácora!#REF!</f>
        <v>#REF!</v>
      </c>
      <c r="E64" s="3" t="e">
        <f>Bitácora!#REF!</f>
        <v>#REF!</v>
      </c>
      <c r="F64" s="3" t="e">
        <f>Bitácora!#REF!</f>
        <v>#REF!</v>
      </c>
      <c r="G64" s="3" t="e">
        <f>Bitácora!#REF!</f>
        <v>#REF!</v>
      </c>
      <c r="H64" s="3" t="e">
        <f>Bitácora!#REF!</f>
        <v>#REF!</v>
      </c>
    </row>
    <row r="65" spans="1:8" hidden="1" x14ac:dyDescent="0.2">
      <c r="A65" s="7" t="e">
        <f>Bitácora!#REF!</f>
        <v>#REF!</v>
      </c>
      <c r="B65" s="3" t="e">
        <f>Bitácora!#REF!</f>
        <v>#REF!</v>
      </c>
      <c r="C65" s="3" t="e">
        <f>Bitácora!#REF!</f>
        <v>#REF!</v>
      </c>
      <c r="D65" s="3" t="e">
        <f>Bitácora!#REF!</f>
        <v>#REF!</v>
      </c>
      <c r="E65" s="3" t="e">
        <f>Bitácora!#REF!</f>
        <v>#REF!</v>
      </c>
      <c r="F65" s="3" t="e">
        <f>Bitácora!#REF!</f>
        <v>#REF!</v>
      </c>
      <c r="G65" s="3" t="e">
        <f>Bitácora!#REF!</f>
        <v>#REF!</v>
      </c>
      <c r="H65" s="3" t="e">
        <f>Bitácora!#REF!</f>
        <v>#REF!</v>
      </c>
    </row>
    <row r="66" spans="1:8" hidden="1" x14ac:dyDescent="0.2">
      <c r="A66" s="7" t="e">
        <f>Bitácora!#REF!</f>
        <v>#REF!</v>
      </c>
      <c r="B66" s="3" t="e">
        <f>Bitácora!#REF!</f>
        <v>#REF!</v>
      </c>
      <c r="C66" s="3" t="e">
        <f>Bitácora!#REF!</f>
        <v>#REF!</v>
      </c>
      <c r="D66" s="3" t="e">
        <f>Bitácora!#REF!</f>
        <v>#REF!</v>
      </c>
      <c r="E66" s="3" t="e">
        <f>Bitácora!#REF!</f>
        <v>#REF!</v>
      </c>
      <c r="F66" s="3" t="e">
        <f>Bitácora!#REF!</f>
        <v>#REF!</v>
      </c>
      <c r="G66" s="3" t="e">
        <f>Bitácora!#REF!</f>
        <v>#REF!</v>
      </c>
      <c r="H66" s="3" t="e">
        <f>Bitácora!#REF!</f>
        <v>#REF!</v>
      </c>
    </row>
    <row r="67" spans="1:8" hidden="1" x14ac:dyDescent="0.2">
      <c r="A67" s="7" t="e">
        <f>Bitácora!#REF!</f>
        <v>#REF!</v>
      </c>
      <c r="B67" s="3" t="e">
        <f>Bitácora!#REF!</f>
        <v>#REF!</v>
      </c>
      <c r="C67" s="3" t="e">
        <f>Bitácora!#REF!</f>
        <v>#REF!</v>
      </c>
      <c r="D67" s="3" t="e">
        <f>Bitácora!#REF!</f>
        <v>#REF!</v>
      </c>
      <c r="E67" s="3" t="e">
        <f>Bitácora!#REF!</f>
        <v>#REF!</v>
      </c>
      <c r="F67" s="3" t="e">
        <f>Bitácora!#REF!</f>
        <v>#REF!</v>
      </c>
      <c r="G67" s="3" t="e">
        <f>Bitácora!#REF!</f>
        <v>#REF!</v>
      </c>
      <c r="H67" s="3" t="e">
        <f>Bitácora!#REF!</f>
        <v>#REF!</v>
      </c>
    </row>
    <row r="68" spans="1:8" hidden="1" x14ac:dyDescent="0.2">
      <c r="A68" s="7" t="e">
        <f>Bitácora!#REF!</f>
        <v>#REF!</v>
      </c>
      <c r="B68" s="3" t="e">
        <f>Bitácora!#REF!</f>
        <v>#REF!</v>
      </c>
      <c r="C68" s="3" t="e">
        <f>Bitácora!#REF!</f>
        <v>#REF!</v>
      </c>
      <c r="D68" s="3" t="e">
        <f>Bitácora!#REF!</f>
        <v>#REF!</v>
      </c>
      <c r="E68" s="3" t="e">
        <f>Bitácora!#REF!</f>
        <v>#REF!</v>
      </c>
      <c r="F68" s="3" t="e">
        <f>Bitácora!#REF!</f>
        <v>#REF!</v>
      </c>
      <c r="G68" s="3" t="e">
        <f>Bitácora!#REF!</f>
        <v>#REF!</v>
      </c>
      <c r="H68" s="3" t="e">
        <f>Bitácora!#REF!</f>
        <v>#REF!</v>
      </c>
    </row>
    <row r="69" spans="1:8" hidden="1" x14ac:dyDescent="0.2">
      <c r="A69" s="7" t="e">
        <f>Bitácora!#REF!</f>
        <v>#REF!</v>
      </c>
      <c r="B69" s="3" t="e">
        <f>Bitácora!#REF!</f>
        <v>#REF!</v>
      </c>
      <c r="C69" s="3" t="e">
        <f>Bitácora!#REF!</f>
        <v>#REF!</v>
      </c>
      <c r="D69" s="3" t="e">
        <f>Bitácora!#REF!</f>
        <v>#REF!</v>
      </c>
      <c r="E69" s="3" t="e">
        <f>Bitácora!#REF!</f>
        <v>#REF!</v>
      </c>
      <c r="F69" s="3" t="e">
        <f>Bitácora!#REF!</f>
        <v>#REF!</v>
      </c>
      <c r="G69" s="3" t="e">
        <f>Bitácora!#REF!</f>
        <v>#REF!</v>
      </c>
      <c r="H69" s="3" t="e">
        <f>Bitácora!#REF!</f>
        <v>#REF!</v>
      </c>
    </row>
    <row r="70" spans="1:8" hidden="1" x14ac:dyDescent="0.2">
      <c r="A70" s="7" t="e">
        <f>Bitácora!#REF!</f>
        <v>#REF!</v>
      </c>
      <c r="B70" s="3" t="e">
        <f>Bitácora!#REF!</f>
        <v>#REF!</v>
      </c>
      <c r="C70" s="3" t="e">
        <f>Bitácora!#REF!</f>
        <v>#REF!</v>
      </c>
      <c r="D70" s="3" t="e">
        <f>Bitácora!#REF!</f>
        <v>#REF!</v>
      </c>
      <c r="E70" s="3" t="e">
        <f>Bitácora!#REF!</f>
        <v>#REF!</v>
      </c>
      <c r="F70" s="3" t="e">
        <f>Bitácora!#REF!</f>
        <v>#REF!</v>
      </c>
      <c r="G70" s="3" t="e">
        <f>Bitácora!#REF!</f>
        <v>#REF!</v>
      </c>
      <c r="H70" s="3" t="e">
        <f>Bitácora!#REF!</f>
        <v>#REF!</v>
      </c>
    </row>
    <row r="71" spans="1:8" hidden="1" x14ac:dyDescent="0.2">
      <c r="A71" s="7" t="e">
        <f>Bitácora!#REF!</f>
        <v>#REF!</v>
      </c>
      <c r="B71" s="3" t="e">
        <f>Bitácora!#REF!</f>
        <v>#REF!</v>
      </c>
      <c r="C71" s="3" t="e">
        <f>Bitácora!#REF!</f>
        <v>#REF!</v>
      </c>
      <c r="D71" s="3" t="e">
        <f>Bitácora!#REF!</f>
        <v>#REF!</v>
      </c>
      <c r="E71" s="3" t="e">
        <f>Bitácora!#REF!</f>
        <v>#REF!</v>
      </c>
      <c r="F71" s="3" t="e">
        <f>Bitácora!#REF!</f>
        <v>#REF!</v>
      </c>
      <c r="G71" s="3" t="e">
        <f>Bitácora!#REF!</f>
        <v>#REF!</v>
      </c>
      <c r="H71" s="3" t="e">
        <f>Bitácora!#REF!</f>
        <v>#REF!</v>
      </c>
    </row>
    <row r="72" spans="1:8" hidden="1" x14ac:dyDescent="0.2">
      <c r="A72" s="7" t="e">
        <f>Bitácora!#REF!</f>
        <v>#REF!</v>
      </c>
      <c r="B72" s="3" t="e">
        <f>Bitácora!#REF!</f>
        <v>#REF!</v>
      </c>
      <c r="C72" s="3" t="e">
        <f>Bitácora!#REF!</f>
        <v>#REF!</v>
      </c>
      <c r="D72" s="3" t="e">
        <f>Bitácora!#REF!</f>
        <v>#REF!</v>
      </c>
      <c r="E72" s="3" t="e">
        <f>Bitácora!#REF!</f>
        <v>#REF!</v>
      </c>
      <c r="F72" s="3" t="e">
        <f>Bitácora!#REF!</f>
        <v>#REF!</v>
      </c>
      <c r="G72" s="3" t="e">
        <f>Bitácora!#REF!</f>
        <v>#REF!</v>
      </c>
      <c r="H72" s="3" t="e">
        <f>Bitácora!#REF!</f>
        <v>#REF!</v>
      </c>
    </row>
    <row r="73" spans="1:8" hidden="1" x14ac:dyDescent="0.2">
      <c r="A73" s="7" t="e">
        <f>Bitácora!#REF!</f>
        <v>#REF!</v>
      </c>
      <c r="B73" s="3" t="e">
        <f>Bitácora!#REF!</f>
        <v>#REF!</v>
      </c>
      <c r="C73" s="3" t="e">
        <f>Bitácora!#REF!</f>
        <v>#REF!</v>
      </c>
      <c r="D73" s="3" t="e">
        <f>Bitácora!#REF!</f>
        <v>#REF!</v>
      </c>
      <c r="E73" s="3" t="e">
        <f>Bitácora!#REF!</f>
        <v>#REF!</v>
      </c>
      <c r="F73" s="3" t="e">
        <f>Bitácora!#REF!</f>
        <v>#REF!</v>
      </c>
      <c r="G73" s="3" t="e">
        <f>Bitácora!#REF!</f>
        <v>#REF!</v>
      </c>
      <c r="H73" s="3" t="e">
        <f>Bitácora!#REF!</f>
        <v>#REF!</v>
      </c>
    </row>
    <row r="74" spans="1:8" hidden="1" x14ac:dyDescent="0.2">
      <c r="A74" s="7" t="e">
        <f>Bitácora!#REF!</f>
        <v>#REF!</v>
      </c>
      <c r="B74" s="3" t="e">
        <f>Bitácora!#REF!</f>
        <v>#REF!</v>
      </c>
      <c r="C74" s="3" t="e">
        <f>Bitácora!#REF!</f>
        <v>#REF!</v>
      </c>
      <c r="D74" s="3" t="e">
        <f>Bitácora!#REF!</f>
        <v>#REF!</v>
      </c>
      <c r="E74" s="3" t="e">
        <f>Bitácora!#REF!</f>
        <v>#REF!</v>
      </c>
      <c r="F74" s="3" t="e">
        <f>Bitácora!#REF!</f>
        <v>#REF!</v>
      </c>
      <c r="G74" s="3" t="e">
        <f>Bitácora!#REF!</f>
        <v>#REF!</v>
      </c>
      <c r="H74" s="3" t="e">
        <f>Bitácora!#REF!</f>
        <v>#REF!</v>
      </c>
    </row>
    <row r="75" spans="1:8" hidden="1" x14ac:dyDescent="0.2">
      <c r="A75" s="7" t="e">
        <f>Bitácora!#REF!</f>
        <v>#REF!</v>
      </c>
      <c r="B75" s="3" t="e">
        <f>Bitácora!#REF!</f>
        <v>#REF!</v>
      </c>
      <c r="C75" s="3" t="e">
        <f>Bitácora!#REF!</f>
        <v>#REF!</v>
      </c>
      <c r="D75" s="3" t="e">
        <f>Bitácora!#REF!</f>
        <v>#REF!</v>
      </c>
      <c r="E75" s="3" t="e">
        <f>Bitácora!#REF!</f>
        <v>#REF!</v>
      </c>
      <c r="F75" s="3" t="e">
        <f>Bitácora!#REF!</f>
        <v>#REF!</v>
      </c>
      <c r="G75" s="3" t="e">
        <f>Bitácora!#REF!</f>
        <v>#REF!</v>
      </c>
      <c r="H75" s="3" t="e">
        <f>Bitácora!#REF!</f>
        <v>#REF!</v>
      </c>
    </row>
    <row r="76" spans="1:8" hidden="1" x14ac:dyDescent="0.2">
      <c r="A76" s="7" t="e">
        <f>Bitácora!#REF!</f>
        <v>#REF!</v>
      </c>
      <c r="B76" s="3" t="e">
        <f>Bitácora!#REF!</f>
        <v>#REF!</v>
      </c>
      <c r="C76" s="3" t="e">
        <f>Bitácora!#REF!</f>
        <v>#REF!</v>
      </c>
      <c r="D76" s="3" t="e">
        <f>Bitácora!#REF!</f>
        <v>#REF!</v>
      </c>
      <c r="E76" s="3" t="e">
        <f>Bitácora!#REF!</f>
        <v>#REF!</v>
      </c>
      <c r="F76" s="3" t="e">
        <f>Bitácora!#REF!</f>
        <v>#REF!</v>
      </c>
      <c r="G76" s="3" t="e">
        <f>Bitácora!#REF!</f>
        <v>#REF!</v>
      </c>
      <c r="H76" s="3" t="e">
        <f>Bitácora!#REF!</f>
        <v>#REF!</v>
      </c>
    </row>
    <row r="77" spans="1:8" hidden="1" x14ac:dyDescent="0.2">
      <c r="A77" s="7" t="e">
        <f>Bitácora!#REF!</f>
        <v>#REF!</v>
      </c>
      <c r="B77" s="3" t="e">
        <f>Bitácora!#REF!</f>
        <v>#REF!</v>
      </c>
      <c r="C77" s="3" t="e">
        <f>Bitácora!#REF!</f>
        <v>#REF!</v>
      </c>
      <c r="D77" s="3" t="e">
        <f>Bitácora!#REF!</f>
        <v>#REF!</v>
      </c>
      <c r="E77" s="3" t="e">
        <f>Bitácora!#REF!</f>
        <v>#REF!</v>
      </c>
      <c r="F77" s="3" t="e">
        <f>Bitácora!#REF!</f>
        <v>#REF!</v>
      </c>
      <c r="G77" s="3" t="e">
        <f>Bitácora!#REF!</f>
        <v>#REF!</v>
      </c>
      <c r="H77" s="3" t="e">
        <f>Bitácora!#REF!</f>
        <v>#REF!</v>
      </c>
    </row>
    <row r="78" spans="1:8" hidden="1" x14ac:dyDescent="0.2">
      <c r="A78" s="7" t="e">
        <f>Bitácora!#REF!</f>
        <v>#REF!</v>
      </c>
      <c r="B78" s="3" t="e">
        <f>Bitácora!#REF!</f>
        <v>#REF!</v>
      </c>
      <c r="C78" s="3" t="e">
        <f>Bitácora!#REF!</f>
        <v>#REF!</v>
      </c>
      <c r="D78" s="3" t="e">
        <f>Bitácora!#REF!</f>
        <v>#REF!</v>
      </c>
      <c r="E78" s="3" t="e">
        <f>Bitácora!#REF!</f>
        <v>#REF!</v>
      </c>
      <c r="F78" s="3" t="e">
        <f>Bitácora!#REF!</f>
        <v>#REF!</v>
      </c>
      <c r="G78" s="3" t="e">
        <f>Bitácora!#REF!</f>
        <v>#REF!</v>
      </c>
      <c r="H78" s="3" t="e">
        <f>Bitácora!#REF!</f>
        <v>#REF!</v>
      </c>
    </row>
    <row r="79" spans="1:8" hidden="1" x14ac:dyDescent="0.2">
      <c r="A79" s="7" t="e">
        <f>Bitácora!#REF!</f>
        <v>#REF!</v>
      </c>
      <c r="B79" s="3" t="e">
        <f>Bitácora!#REF!</f>
        <v>#REF!</v>
      </c>
      <c r="C79" s="3" t="e">
        <f>Bitácora!#REF!</f>
        <v>#REF!</v>
      </c>
      <c r="D79" s="3" t="e">
        <f>Bitácora!#REF!</f>
        <v>#REF!</v>
      </c>
      <c r="E79" s="3" t="e">
        <f>Bitácora!#REF!</f>
        <v>#REF!</v>
      </c>
      <c r="F79" s="3" t="e">
        <f>Bitácora!#REF!</f>
        <v>#REF!</v>
      </c>
      <c r="G79" s="3" t="e">
        <f>Bitácora!#REF!</f>
        <v>#REF!</v>
      </c>
      <c r="H79" s="3" t="e">
        <f>Bitácora!#REF!</f>
        <v>#REF!</v>
      </c>
    </row>
    <row r="80" spans="1:8" hidden="1" x14ac:dyDescent="0.2">
      <c r="A80" s="7" t="e">
        <f>Bitácora!#REF!</f>
        <v>#REF!</v>
      </c>
      <c r="B80" s="3" t="e">
        <f>Bitácora!#REF!</f>
        <v>#REF!</v>
      </c>
      <c r="C80" s="3" t="e">
        <f>Bitácora!#REF!</f>
        <v>#REF!</v>
      </c>
      <c r="D80" s="3" t="e">
        <f>Bitácora!#REF!</f>
        <v>#REF!</v>
      </c>
      <c r="E80" s="3" t="e">
        <f>Bitácora!#REF!</f>
        <v>#REF!</v>
      </c>
      <c r="F80" s="3" t="e">
        <f>Bitácora!#REF!</f>
        <v>#REF!</v>
      </c>
      <c r="G80" s="3" t="e">
        <f>Bitácora!#REF!</f>
        <v>#REF!</v>
      </c>
      <c r="H80" s="3" t="e">
        <f>Bitácora!#REF!</f>
        <v>#REF!</v>
      </c>
    </row>
    <row r="81" spans="1:8" hidden="1" x14ac:dyDescent="0.2">
      <c r="A81" s="7">
        <f>Bitácora!A28</f>
        <v>0</v>
      </c>
      <c r="B81" s="3">
        <f>Bitácora!B28</f>
        <v>0</v>
      </c>
      <c r="C81" s="3">
        <f>Bitácora!C28</f>
        <v>0</v>
      </c>
      <c r="D81" s="3">
        <f>Bitácora!M28</f>
        <v>0</v>
      </c>
      <c r="E81" s="3">
        <f>Bitácora!N28</f>
        <v>0</v>
      </c>
      <c r="F81" s="3">
        <f>Bitácora!O28</f>
        <v>0</v>
      </c>
      <c r="G81" s="3">
        <f>Bitácora!Q28</f>
        <v>0</v>
      </c>
      <c r="H81" s="3">
        <f>Bitácora!R28</f>
        <v>0</v>
      </c>
    </row>
    <row r="82" spans="1:8" hidden="1" x14ac:dyDescent="0.2">
      <c r="A82" s="7">
        <f>Bitácora!A29</f>
        <v>0</v>
      </c>
      <c r="B82" s="3">
        <f>Bitácora!B29</f>
        <v>0</v>
      </c>
      <c r="C82" s="3">
        <f>Bitácora!C29</f>
        <v>0</v>
      </c>
      <c r="D82" s="3">
        <f>Bitácora!M29</f>
        <v>0</v>
      </c>
      <c r="E82" s="3">
        <f>Bitácora!N29</f>
        <v>0</v>
      </c>
      <c r="F82" s="3">
        <f>Bitácora!O29</f>
        <v>0</v>
      </c>
      <c r="G82" s="3">
        <f>Bitácora!Q29</f>
        <v>0</v>
      </c>
      <c r="H82" s="3">
        <f>Bitácora!R29</f>
        <v>0</v>
      </c>
    </row>
    <row r="83" spans="1:8" hidden="1" x14ac:dyDescent="0.2">
      <c r="A83" s="7">
        <f>Bitácora!A30</f>
        <v>0</v>
      </c>
      <c r="B83" s="3">
        <f>Bitácora!B30</f>
        <v>0</v>
      </c>
      <c r="C83" s="3">
        <f>Bitácora!C30</f>
        <v>0</v>
      </c>
      <c r="D83" s="3">
        <f>Bitácora!M30</f>
        <v>0</v>
      </c>
      <c r="E83" s="3">
        <f>Bitácora!N30</f>
        <v>0</v>
      </c>
      <c r="F83" s="3">
        <f>Bitácora!O30</f>
        <v>0</v>
      </c>
      <c r="G83" s="3">
        <f>Bitácora!Q30</f>
        <v>0</v>
      </c>
      <c r="H83" s="3">
        <f>Bitácora!R30</f>
        <v>0</v>
      </c>
    </row>
    <row r="84" spans="1:8" hidden="1" x14ac:dyDescent="0.2">
      <c r="A84" s="7">
        <f>Bitácora!A31</f>
        <v>0</v>
      </c>
      <c r="B84" s="3">
        <f>Bitácora!B31</f>
        <v>0</v>
      </c>
      <c r="C84" s="3">
        <f>Bitácora!C31</f>
        <v>0</v>
      </c>
      <c r="D84" s="3">
        <f>Bitácora!M31</f>
        <v>0</v>
      </c>
      <c r="E84" s="3">
        <f>Bitácora!N31</f>
        <v>0</v>
      </c>
      <c r="F84" s="3">
        <f>Bitácora!O31</f>
        <v>0</v>
      </c>
      <c r="G84" s="3">
        <f>Bitácora!Q31</f>
        <v>0</v>
      </c>
      <c r="H84" s="3">
        <f>Bitácora!R31</f>
        <v>0</v>
      </c>
    </row>
    <row r="85" spans="1:8" hidden="1" x14ac:dyDescent="0.2">
      <c r="A85" s="7">
        <f>Bitácora!A32</f>
        <v>0</v>
      </c>
      <c r="B85" s="3">
        <f>Bitácora!B32</f>
        <v>0</v>
      </c>
      <c r="C85" s="3">
        <f>Bitácora!C32</f>
        <v>0</v>
      </c>
      <c r="D85" s="3">
        <f>Bitácora!M32</f>
        <v>0</v>
      </c>
      <c r="E85" s="3">
        <f>Bitácora!N32</f>
        <v>0</v>
      </c>
      <c r="F85" s="3">
        <f>Bitácora!O32</f>
        <v>0</v>
      </c>
      <c r="G85" s="3">
        <f>Bitácora!Q32</f>
        <v>0</v>
      </c>
      <c r="H85" s="3">
        <f>Bitácora!R32</f>
        <v>0</v>
      </c>
    </row>
    <row r="86" spans="1:8" hidden="1" x14ac:dyDescent="0.2">
      <c r="A86" s="7">
        <f>Bitácora!A33</f>
        <v>0</v>
      </c>
      <c r="B86" s="3">
        <f>Bitácora!B33</f>
        <v>0</v>
      </c>
      <c r="C86" s="3">
        <f>Bitácora!C33</f>
        <v>0</v>
      </c>
      <c r="D86" s="3">
        <f>Bitácora!M33</f>
        <v>0</v>
      </c>
      <c r="E86" s="3">
        <f>Bitácora!N33</f>
        <v>0</v>
      </c>
      <c r="F86" s="3">
        <f>Bitácora!O33</f>
        <v>0</v>
      </c>
      <c r="G86" s="3">
        <f>Bitácora!Q33</f>
        <v>0</v>
      </c>
      <c r="H86" s="3">
        <f>Bitácora!R33</f>
        <v>0</v>
      </c>
    </row>
    <row r="87" spans="1:8" hidden="1" x14ac:dyDescent="0.2">
      <c r="A87" s="7">
        <f>Bitácora!A34</f>
        <v>0</v>
      </c>
      <c r="B87" s="3">
        <f>Bitácora!B34</f>
        <v>0</v>
      </c>
      <c r="C87" s="3">
        <f>Bitácora!C34</f>
        <v>0</v>
      </c>
      <c r="D87" s="3">
        <f>Bitácora!M34</f>
        <v>0</v>
      </c>
      <c r="E87" s="3">
        <f>Bitácora!N34</f>
        <v>0</v>
      </c>
      <c r="F87" s="3">
        <f>Bitácora!O34</f>
        <v>0</v>
      </c>
      <c r="G87" s="3">
        <f>Bitácora!Q34</f>
        <v>0</v>
      </c>
      <c r="H87" s="3">
        <f>Bitácora!R34</f>
        <v>0</v>
      </c>
    </row>
    <row r="88" spans="1:8" hidden="1" x14ac:dyDescent="0.2">
      <c r="A88" s="7">
        <f>Bitácora!A35</f>
        <v>0</v>
      </c>
      <c r="B88" s="3">
        <f>Bitácora!B35</f>
        <v>0</v>
      </c>
      <c r="C88" s="3">
        <f>Bitácora!C35</f>
        <v>0</v>
      </c>
      <c r="D88" s="3">
        <f>Bitácora!M35</f>
        <v>0</v>
      </c>
      <c r="E88" s="3">
        <f>Bitácora!N35</f>
        <v>0</v>
      </c>
      <c r="F88" s="3">
        <f>Bitácora!O35</f>
        <v>0</v>
      </c>
      <c r="G88" s="3">
        <f>Bitácora!Q35</f>
        <v>0</v>
      </c>
      <c r="H88" s="3">
        <f>Bitácora!R35</f>
        <v>0</v>
      </c>
    </row>
    <row r="89" spans="1:8" hidden="1" x14ac:dyDescent="0.2">
      <c r="A89" s="7">
        <f>Bitácora!A36</f>
        <v>0</v>
      </c>
      <c r="B89" s="3">
        <f>Bitácora!B36</f>
        <v>0</v>
      </c>
      <c r="C89" s="3">
        <f>Bitácora!C36</f>
        <v>0</v>
      </c>
      <c r="D89" s="3">
        <f>Bitácora!M36</f>
        <v>0</v>
      </c>
      <c r="E89" s="3">
        <f>Bitácora!N36</f>
        <v>0</v>
      </c>
      <c r="F89" s="3">
        <f>Bitácora!O36</f>
        <v>0</v>
      </c>
      <c r="G89" s="3">
        <f>Bitácora!Q36</f>
        <v>0</v>
      </c>
      <c r="H89" s="3">
        <f>Bitácora!R36</f>
        <v>0</v>
      </c>
    </row>
    <row r="90" spans="1:8" hidden="1" x14ac:dyDescent="0.2">
      <c r="A90" s="7">
        <f>Bitácora!A37</f>
        <v>0</v>
      </c>
      <c r="B90" s="3">
        <f>Bitácora!B37</f>
        <v>0</v>
      </c>
      <c r="C90" s="3">
        <f>Bitácora!C37</f>
        <v>0</v>
      </c>
      <c r="D90" s="3">
        <f>Bitácora!M37</f>
        <v>0</v>
      </c>
      <c r="E90" s="3">
        <f>Bitácora!N37</f>
        <v>0</v>
      </c>
      <c r="F90" s="3">
        <f>Bitácora!O37</f>
        <v>0</v>
      </c>
      <c r="G90" s="3">
        <f>Bitácora!Q37</f>
        <v>0</v>
      </c>
      <c r="H90" s="3">
        <f>Bitácora!R37</f>
        <v>0</v>
      </c>
    </row>
    <row r="91" spans="1:8" hidden="1" x14ac:dyDescent="0.2">
      <c r="A91" s="7">
        <f>Bitácora!A38</f>
        <v>0</v>
      </c>
      <c r="B91" s="3">
        <f>Bitácora!B38</f>
        <v>0</v>
      </c>
      <c r="C91" s="3">
        <f>Bitácora!C38</f>
        <v>0</v>
      </c>
      <c r="D91" s="3">
        <f>Bitácora!M38</f>
        <v>0</v>
      </c>
      <c r="E91" s="3">
        <f>Bitácora!N38</f>
        <v>0</v>
      </c>
      <c r="F91" s="3">
        <f>Bitácora!O38</f>
        <v>0</v>
      </c>
      <c r="G91" s="3">
        <f>Bitácora!Q38</f>
        <v>0</v>
      </c>
      <c r="H91" s="3">
        <f>Bitácora!R38</f>
        <v>0</v>
      </c>
    </row>
    <row r="92" spans="1:8" hidden="1" x14ac:dyDescent="0.2">
      <c r="A92" s="7">
        <f>Bitácora!A39</f>
        <v>0</v>
      </c>
      <c r="B92" s="3">
        <f>Bitácora!B39</f>
        <v>0</v>
      </c>
      <c r="C92" s="3">
        <f>Bitácora!C39</f>
        <v>0</v>
      </c>
      <c r="D92" s="3">
        <f>Bitácora!M39</f>
        <v>0</v>
      </c>
      <c r="E92" s="3">
        <f>Bitácora!N39</f>
        <v>0</v>
      </c>
      <c r="F92" s="3">
        <f>Bitácora!O39</f>
        <v>0</v>
      </c>
      <c r="G92" s="3">
        <f>Bitácora!Q39</f>
        <v>0</v>
      </c>
      <c r="H92" s="3">
        <f>Bitácora!R39</f>
        <v>0</v>
      </c>
    </row>
    <row r="93" spans="1:8" hidden="1" x14ac:dyDescent="0.2">
      <c r="A93" s="7">
        <f>Bitácora!A40</f>
        <v>0</v>
      </c>
      <c r="B93" s="3">
        <f>Bitácora!B40</f>
        <v>0</v>
      </c>
      <c r="C93" s="3">
        <f>Bitácora!C40</f>
        <v>0</v>
      </c>
      <c r="D93" s="3">
        <f>Bitácora!M40</f>
        <v>0</v>
      </c>
      <c r="E93" s="3">
        <f>Bitácora!N40</f>
        <v>0</v>
      </c>
      <c r="F93" s="3">
        <f>Bitácora!O40</f>
        <v>0</v>
      </c>
      <c r="G93" s="3">
        <f>Bitácora!Q40</f>
        <v>0</v>
      </c>
      <c r="H93" s="3">
        <f>Bitácora!R40</f>
        <v>0</v>
      </c>
    </row>
    <row r="94" spans="1:8" hidden="1" x14ac:dyDescent="0.2">
      <c r="A94" s="7">
        <f>Bitácora!A41</f>
        <v>0</v>
      </c>
      <c r="B94" s="3">
        <f>Bitácora!B41</f>
        <v>0</v>
      </c>
      <c r="C94" s="3">
        <f>Bitácora!C41</f>
        <v>0</v>
      </c>
      <c r="D94" s="3">
        <f>Bitácora!M41</f>
        <v>0</v>
      </c>
      <c r="E94" s="3">
        <f>Bitácora!N41</f>
        <v>0</v>
      </c>
      <c r="F94" s="3">
        <f>Bitácora!O41</f>
        <v>0</v>
      </c>
      <c r="G94" s="3">
        <f>Bitácora!Q41</f>
        <v>0</v>
      </c>
      <c r="H94" s="3">
        <f>Bitácora!R41</f>
        <v>0</v>
      </c>
    </row>
    <row r="95" spans="1:8" hidden="1" x14ac:dyDescent="0.2">
      <c r="A95" s="7">
        <f>Bitácora!A42</f>
        <v>0</v>
      </c>
      <c r="B95" s="3">
        <f>Bitácora!B42</f>
        <v>0</v>
      </c>
      <c r="C95" s="3">
        <f>Bitácora!C42</f>
        <v>0</v>
      </c>
      <c r="D95" s="3">
        <f>Bitácora!M42</f>
        <v>0</v>
      </c>
      <c r="E95" s="3">
        <f>Bitácora!N42</f>
        <v>0</v>
      </c>
      <c r="F95" s="3">
        <f>Bitácora!O42</f>
        <v>0</v>
      </c>
      <c r="G95" s="3">
        <f>Bitácora!Q42</f>
        <v>0</v>
      </c>
      <c r="H95" s="3">
        <f>Bitácora!R42</f>
        <v>0</v>
      </c>
    </row>
    <row r="96" spans="1:8" hidden="1" x14ac:dyDescent="0.2">
      <c r="A96" s="7">
        <f>Bitácora!A43</f>
        <v>0</v>
      </c>
      <c r="B96" s="3">
        <f>Bitácora!B43</f>
        <v>0</v>
      </c>
      <c r="C96" s="3">
        <f>Bitácora!C43</f>
        <v>0</v>
      </c>
      <c r="D96" s="3">
        <f>Bitácora!M43</f>
        <v>0</v>
      </c>
      <c r="E96" s="3">
        <f>Bitácora!N43</f>
        <v>0</v>
      </c>
      <c r="F96" s="3">
        <f>Bitácora!O43</f>
        <v>0</v>
      </c>
      <c r="G96" s="3">
        <f>Bitácora!Q43</f>
        <v>0</v>
      </c>
      <c r="H96" s="3">
        <f>Bitácora!R43</f>
        <v>0</v>
      </c>
    </row>
    <row r="97" spans="1:8" hidden="1" x14ac:dyDescent="0.2">
      <c r="A97" s="7">
        <f>Bitácora!A44</f>
        <v>0</v>
      </c>
      <c r="B97" s="3">
        <f>Bitácora!B44</f>
        <v>0</v>
      </c>
      <c r="C97" s="3">
        <f>Bitácora!C44</f>
        <v>0</v>
      </c>
      <c r="D97" s="3">
        <f>Bitácora!M44</f>
        <v>0</v>
      </c>
      <c r="E97" s="3">
        <f>Bitácora!N44</f>
        <v>0</v>
      </c>
      <c r="F97" s="3">
        <f>Bitácora!O44</f>
        <v>0</v>
      </c>
      <c r="G97" s="3">
        <f>Bitácora!Q44</f>
        <v>0</v>
      </c>
      <c r="H97" s="3">
        <f>Bitácora!R44</f>
        <v>0</v>
      </c>
    </row>
    <row r="98" spans="1:8" hidden="1" x14ac:dyDescent="0.2">
      <c r="A98" s="7">
        <f>Bitácora!A45</f>
        <v>0</v>
      </c>
      <c r="B98" s="3">
        <f>Bitácora!B45</f>
        <v>0</v>
      </c>
      <c r="C98" s="3">
        <f>Bitácora!C45</f>
        <v>0</v>
      </c>
      <c r="D98" s="3">
        <f>Bitácora!M45</f>
        <v>0</v>
      </c>
      <c r="E98" s="3">
        <f>Bitácora!N45</f>
        <v>0</v>
      </c>
      <c r="F98" s="3">
        <f>Bitácora!O45</f>
        <v>0</v>
      </c>
      <c r="G98" s="3">
        <f>Bitácora!Q45</f>
        <v>0</v>
      </c>
      <c r="H98" s="3">
        <f>Bitácora!R45</f>
        <v>0</v>
      </c>
    </row>
    <row r="99" spans="1:8" hidden="1" x14ac:dyDescent="0.2">
      <c r="A99" s="7">
        <f>Bitácora!A46</f>
        <v>0</v>
      </c>
      <c r="B99" s="3">
        <f>Bitácora!B46</f>
        <v>0</v>
      </c>
      <c r="C99" s="3">
        <f>Bitácora!C46</f>
        <v>0</v>
      </c>
      <c r="D99" s="3">
        <f>Bitácora!M46</f>
        <v>0</v>
      </c>
      <c r="E99" s="3">
        <f>Bitácora!N46</f>
        <v>0</v>
      </c>
      <c r="F99" s="3">
        <f>Bitácora!O46</f>
        <v>0</v>
      </c>
      <c r="G99" s="3">
        <f>Bitácora!Q46</f>
        <v>0</v>
      </c>
      <c r="H99" s="3">
        <f>Bitácora!R46</f>
        <v>0</v>
      </c>
    </row>
    <row r="100" spans="1:8" hidden="1" x14ac:dyDescent="0.2">
      <c r="A100" s="7">
        <f>Bitácora!A47</f>
        <v>0</v>
      </c>
      <c r="B100" s="3">
        <f>Bitácora!B47</f>
        <v>0</v>
      </c>
      <c r="C100" s="3">
        <f>Bitácora!C47</f>
        <v>0</v>
      </c>
      <c r="D100" s="3">
        <f>Bitácora!M47</f>
        <v>0</v>
      </c>
      <c r="E100" s="3">
        <f>Bitácora!N47</f>
        <v>0</v>
      </c>
      <c r="F100" s="3">
        <f>Bitácora!O47</f>
        <v>0</v>
      </c>
      <c r="G100" s="3">
        <f>Bitácora!Q47</f>
        <v>0</v>
      </c>
      <c r="H100" s="3">
        <f>Bitácora!R47</f>
        <v>0</v>
      </c>
    </row>
    <row r="101" spans="1:8" hidden="1" x14ac:dyDescent="0.2">
      <c r="A101" s="7">
        <f>Bitácora!A48</f>
        <v>0</v>
      </c>
      <c r="B101" s="3">
        <f>Bitácora!B48</f>
        <v>0</v>
      </c>
      <c r="C101" s="3">
        <f>Bitácora!C48</f>
        <v>0</v>
      </c>
      <c r="D101" s="3">
        <f>Bitácora!M48</f>
        <v>0</v>
      </c>
      <c r="E101" s="3">
        <f>Bitácora!N48</f>
        <v>0</v>
      </c>
      <c r="F101" s="3">
        <f>Bitácora!O48</f>
        <v>0</v>
      </c>
      <c r="G101" s="3">
        <f>Bitácora!Q48</f>
        <v>0</v>
      </c>
      <c r="H101" s="3">
        <f>Bitácora!R48</f>
        <v>0</v>
      </c>
    </row>
    <row r="102" spans="1:8" hidden="1" x14ac:dyDescent="0.2">
      <c r="A102" s="7">
        <f>Bitácora!A49</f>
        <v>0</v>
      </c>
      <c r="B102" s="3">
        <f>Bitácora!B49</f>
        <v>0</v>
      </c>
      <c r="C102" s="3">
        <f>Bitácora!C49</f>
        <v>0</v>
      </c>
      <c r="D102" s="3">
        <f>Bitácora!M49</f>
        <v>0</v>
      </c>
      <c r="E102" s="3">
        <f>Bitácora!N49</f>
        <v>0</v>
      </c>
      <c r="F102" s="3">
        <f>Bitácora!O49</f>
        <v>0</v>
      </c>
      <c r="G102" s="3">
        <f>Bitácora!Q49</f>
        <v>0</v>
      </c>
      <c r="H102" s="3">
        <f>Bitácora!R49</f>
        <v>0</v>
      </c>
    </row>
    <row r="103" spans="1:8" hidden="1" x14ac:dyDescent="0.2">
      <c r="A103" s="7">
        <f>Bitácora!A50</f>
        <v>0</v>
      </c>
      <c r="B103" s="3">
        <f>Bitácora!B50</f>
        <v>0</v>
      </c>
      <c r="C103" s="3">
        <f>Bitácora!C50</f>
        <v>0</v>
      </c>
      <c r="D103" s="3">
        <f>Bitácora!M50</f>
        <v>0</v>
      </c>
      <c r="E103" s="3">
        <f>Bitácora!N50</f>
        <v>0</v>
      </c>
      <c r="F103" s="3">
        <f>Bitácora!O50</f>
        <v>0</v>
      </c>
      <c r="G103" s="3">
        <f>Bitácora!Q50</f>
        <v>0</v>
      </c>
      <c r="H103" s="3">
        <f>Bitácora!R50</f>
        <v>0</v>
      </c>
    </row>
    <row r="104" spans="1:8" hidden="1" x14ac:dyDescent="0.2">
      <c r="A104" s="7">
        <f>Bitácora!A51</f>
        <v>0</v>
      </c>
      <c r="B104" s="3">
        <f>Bitácora!B51</f>
        <v>0</v>
      </c>
      <c r="C104" s="3">
        <f>Bitácora!C51</f>
        <v>0</v>
      </c>
      <c r="D104" s="3">
        <f>Bitácora!M51</f>
        <v>0</v>
      </c>
      <c r="E104" s="3">
        <f>Bitácora!N51</f>
        <v>0</v>
      </c>
      <c r="F104" s="3">
        <f>Bitácora!O51</f>
        <v>0</v>
      </c>
      <c r="G104" s="3">
        <f>Bitácora!Q51</f>
        <v>0</v>
      </c>
      <c r="H104" s="3">
        <f>Bitácora!R51</f>
        <v>0</v>
      </c>
    </row>
    <row r="105" spans="1:8" hidden="1" x14ac:dyDescent="0.2">
      <c r="A105" s="7">
        <f>Bitácora!A52</f>
        <v>0</v>
      </c>
      <c r="B105" s="3">
        <f>Bitácora!B52</f>
        <v>0</v>
      </c>
      <c r="C105" s="3">
        <f>Bitácora!C52</f>
        <v>0</v>
      </c>
      <c r="D105" s="3">
        <f>Bitácora!M52</f>
        <v>0</v>
      </c>
      <c r="E105" s="3">
        <f>Bitácora!N52</f>
        <v>0</v>
      </c>
      <c r="F105" s="3">
        <f>Bitácora!O52</f>
        <v>0</v>
      </c>
      <c r="G105" s="3">
        <f>Bitácora!Q52</f>
        <v>0</v>
      </c>
      <c r="H105" s="3">
        <f>Bitácora!R52</f>
        <v>0</v>
      </c>
    </row>
    <row r="106" spans="1:8" hidden="1" x14ac:dyDescent="0.2">
      <c r="A106" s="7">
        <f>Bitácora!A53</f>
        <v>0</v>
      </c>
      <c r="B106" s="3">
        <f>Bitácora!B53</f>
        <v>0</v>
      </c>
      <c r="C106" s="3">
        <f>Bitácora!C53</f>
        <v>0</v>
      </c>
      <c r="D106" s="3">
        <f>Bitácora!M53</f>
        <v>0</v>
      </c>
      <c r="E106" s="3">
        <f>Bitácora!N53</f>
        <v>0</v>
      </c>
      <c r="F106" s="3">
        <f>Bitácora!O53</f>
        <v>0</v>
      </c>
      <c r="G106" s="3">
        <f>Bitácora!Q53</f>
        <v>0</v>
      </c>
      <c r="H106" s="3">
        <f>Bitácora!R53</f>
        <v>0</v>
      </c>
    </row>
    <row r="107" spans="1:8" hidden="1" x14ac:dyDescent="0.2">
      <c r="A107" s="7">
        <f>Bitácora!A54</f>
        <v>0</v>
      </c>
      <c r="B107" s="3">
        <f>Bitácora!B54</f>
        <v>0</v>
      </c>
      <c r="C107" s="3">
        <f>Bitácora!C54</f>
        <v>0</v>
      </c>
      <c r="D107" s="3">
        <f>Bitácora!M54</f>
        <v>0</v>
      </c>
      <c r="E107" s="3">
        <f>Bitácora!N54</f>
        <v>0</v>
      </c>
      <c r="F107" s="3">
        <f>Bitácora!O54</f>
        <v>0</v>
      </c>
      <c r="G107" s="3">
        <f>Bitácora!Q54</f>
        <v>0</v>
      </c>
      <c r="H107" s="3">
        <f>Bitácora!R54</f>
        <v>0</v>
      </c>
    </row>
    <row r="108" spans="1:8" hidden="1" x14ac:dyDescent="0.2">
      <c r="A108" s="7">
        <f>Bitácora!A55</f>
        <v>0</v>
      </c>
      <c r="B108" s="3">
        <f>Bitácora!B55</f>
        <v>0</v>
      </c>
      <c r="C108" s="3">
        <f>Bitácora!C55</f>
        <v>0</v>
      </c>
      <c r="D108" s="3">
        <f>Bitácora!M55</f>
        <v>0</v>
      </c>
      <c r="E108" s="3">
        <f>Bitácora!N55</f>
        <v>0</v>
      </c>
      <c r="F108" s="3">
        <f>Bitácora!O55</f>
        <v>0</v>
      </c>
      <c r="G108" s="3">
        <f>Bitácora!Q55</f>
        <v>0</v>
      </c>
      <c r="H108" s="3">
        <f>Bitácora!R55</f>
        <v>0</v>
      </c>
    </row>
    <row r="109" spans="1:8" hidden="1" x14ac:dyDescent="0.2">
      <c r="A109" s="7">
        <f>Bitácora!A56</f>
        <v>0</v>
      </c>
      <c r="B109" s="3">
        <f>Bitácora!B56</f>
        <v>0</v>
      </c>
      <c r="C109" s="3">
        <f>Bitácora!C56</f>
        <v>0</v>
      </c>
      <c r="D109" s="3">
        <f>Bitácora!M56</f>
        <v>0</v>
      </c>
      <c r="E109" s="3">
        <f>Bitácora!N56</f>
        <v>0</v>
      </c>
      <c r="F109" s="3">
        <f>Bitácora!O56</f>
        <v>0</v>
      </c>
      <c r="G109" s="3">
        <f>Bitácora!Q56</f>
        <v>0</v>
      </c>
      <c r="H109" s="3">
        <f>Bitácora!R56</f>
        <v>0</v>
      </c>
    </row>
    <row r="110" spans="1:8" hidden="1" x14ac:dyDescent="0.2">
      <c r="A110" s="7">
        <f>Bitácora!A57</f>
        <v>0</v>
      </c>
      <c r="B110" s="3">
        <f>Bitácora!B57</f>
        <v>0</v>
      </c>
      <c r="C110" s="3">
        <f>Bitácora!C57</f>
        <v>0</v>
      </c>
      <c r="D110" s="3">
        <f>Bitácora!M57</f>
        <v>0</v>
      </c>
      <c r="E110" s="3">
        <f>Bitácora!N57</f>
        <v>0</v>
      </c>
      <c r="F110" s="3">
        <f>Bitácora!O57</f>
        <v>0</v>
      </c>
      <c r="G110" s="3">
        <f>Bitácora!Q57</f>
        <v>0</v>
      </c>
      <c r="H110" s="3">
        <f>Bitácora!R57</f>
        <v>0</v>
      </c>
    </row>
    <row r="111" spans="1:8" hidden="1" x14ac:dyDescent="0.2">
      <c r="A111" s="7">
        <f>Bitácora!A58</f>
        <v>0</v>
      </c>
      <c r="B111" s="3">
        <f>Bitácora!B58</f>
        <v>0</v>
      </c>
      <c r="C111" s="3">
        <f>Bitácora!C58</f>
        <v>0</v>
      </c>
      <c r="D111" s="3">
        <f>Bitácora!M58</f>
        <v>0</v>
      </c>
      <c r="E111" s="3">
        <f>Bitácora!N58</f>
        <v>0</v>
      </c>
      <c r="F111" s="3">
        <f>Bitácora!O58</f>
        <v>0</v>
      </c>
      <c r="G111" s="3">
        <f>Bitácora!Q58</f>
        <v>0</v>
      </c>
      <c r="H111" s="3">
        <f>Bitácora!R58</f>
        <v>0</v>
      </c>
    </row>
    <row r="112" spans="1:8" hidden="1" x14ac:dyDescent="0.2">
      <c r="A112" s="7">
        <f>Bitácora!A59</f>
        <v>0</v>
      </c>
      <c r="B112" s="3">
        <f>Bitácora!B59</f>
        <v>0</v>
      </c>
      <c r="C112" s="3">
        <f>Bitácora!C59</f>
        <v>0</v>
      </c>
      <c r="D112" s="3">
        <f>Bitácora!M59</f>
        <v>0</v>
      </c>
      <c r="E112" s="3">
        <f>Bitácora!N59</f>
        <v>0</v>
      </c>
      <c r="F112" s="3">
        <f>Bitácora!O59</f>
        <v>0</v>
      </c>
      <c r="G112" s="3">
        <f>Bitácora!Q59</f>
        <v>0</v>
      </c>
      <c r="H112" s="3">
        <f>Bitácora!R59</f>
        <v>0</v>
      </c>
    </row>
    <row r="113" spans="1:8" hidden="1" x14ac:dyDescent="0.2">
      <c r="A113" s="7">
        <f>Bitácora!A60</f>
        <v>0</v>
      </c>
      <c r="B113" s="3">
        <f>Bitácora!B60</f>
        <v>0</v>
      </c>
      <c r="C113" s="3">
        <f>Bitácora!C60</f>
        <v>0</v>
      </c>
      <c r="D113" s="3">
        <f>Bitácora!M60</f>
        <v>0</v>
      </c>
      <c r="E113" s="3">
        <f>Bitácora!N60</f>
        <v>0</v>
      </c>
      <c r="F113" s="3">
        <f>Bitácora!O60</f>
        <v>0</v>
      </c>
      <c r="G113" s="3">
        <f>Bitácora!Q60</f>
        <v>0</v>
      </c>
      <c r="H113" s="3">
        <f>Bitácora!R60</f>
        <v>0</v>
      </c>
    </row>
    <row r="114" spans="1:8" hidden="1" x14ac:dyDescent="0.2">
      <c r="A114" s="7">
        <f>Bitácora!A61</f>
        <v>0</v>
      </c>
      <c r="B114" s="3">
        <f>Bitácora!B61</f>
        <v>0</v>
      </c>
      <c r="C114" s="3">
        <f>Bitácora!C61</f>
        <v>0</v>
      </c>
      <c r="D114" s="3">
        <f>Bitácora!M61</f>
        <v>0</v>
      </c>
      <c r="E114" s="3">
        <f>Bitácora!N61</f>
        <v>0</v>
      </c>
      <c r="F114" s="3">
        <f>Bitácora!O61</f>
        <v>0</v>
      </c>
      <c r="G114" s="3">
        <f>Bitácora!Q61</f>
        <v>0</v>
      </c>
      <c r="H114" s="3">
        <f>Bitácora!R61</f>
        <v>0</v>
      </c>
    </row>
    <row r="115" spans="1:8" hidden="1" x14ac:dyDescent="0.2">
      <c r="A115" s="7">
        <f>Bitácora!A62</f>
        <v>0</v>
      </c>
      <c r="B115" s="3">
        <f>Bitácora!B62</f>
        <v>0</v>
      </c>
      <c r="C115" s="3">
        <f>Bitácora!C62</f>
        <v>0</v>
      </c>
      <c r="D115" s="3">
        <f>Bitácora!M62</f>
        <v>0</v>
      </c>
      <c r="E115" s="3">
        <f>Bitácora!N62</f>
        <v>0</v>
      </c>
      <c r="F115" s="3">
        <f>Bitácora!O62</f>
        <v>0</v>
      </c>
      <c r="G115" s="3">
        <f>Bitácora!Q62</f>
        <v>0</v>
      </c>
      <c r="H115" s="3">
        <f>Bitácora!R62</f>
        <v>0</v>
      </c>
    </row>
    <row r="116" spans="1:8" hidden="1" x14ac:dyDescent="0.2">
      <c r="A116" s="7">
        <f>Bitácora!A63</f>
        <v>0</v>
      </c>
      <c r="B116" s="3">
        <f>Bitácora!B63</f>
        <v>0</v>
      </c>
      <c r="C116" s="3">
        <f>Bitácora!C63</f>
        <v>0</v>
      </c>
      <c r="D116" s="3">
        <f>Bitácora!M63</f>
        <v>0</v>
      </c>
      <c r="E116" s="3">
        <f>Bitácora!N63</f>
        <v>0</v>
      </c>
      <c r="F116" s="3">
        <f>Bitácora!O63</f>
        <v>0</v>
      </c>
      <c r="G116" s="3">
        <f>Bitácora!Q63</f>
        <v>0</v>
      </c>
      <c r="H116" s="3">
        <f>Bitácora!R63</f>
        <v>0</v>
      </c>
    </row>
    <row r="117" spans="1:8" hidden="1" x14ac:dyDescent="0.2">
      <c r="A117" s="7">
        <f>Bitácora!A64</f>
        <v>0</v>
      </c>
      <c r="B117" s="3">
        <f>Bitácora!B64</f>
        <v>0</v>
      </c>
      <c r="C117" s="3">
        <f>Bitácora!C64</f>
        <v>0</v>
      </c>
      <c r="D117" s="3">
        <f>Bitácora!M64</f>
        <v>0</v>
      </c>
      <c r="E117" s="3">
        <f>Bitácora!N64</f>
        <v>0</v>
      </c>
      <c r="F117" s="3">
        <f>Bitácora!O64</f>
        <v>0</v>
      </c>
      <c r="G117" s="3">
        <f>Bitácora!Q64</f>
        <v>0</v>
      </c>
      <c r="H117" s="3">
        <f>Bitácora!R64</f>
        <v>0</v>
      </c>
    </row>
    <row r="118" spans="1:8" hidden="1" x14ac:dyDescent="0.2">
      <c r="A118" s="7">
        <f>Bitácora!A65</f>
        <v>0</v>
      </c>
      <c r="B118" s="3">
        <f>Bitácora!B65</f>
        <v>0</v>
      </c>
      <c r="C118" s="3">
        <f>Bitácora!C65</f>
        <v>0</v>
      </c>
      <c r="D118" s="3">
        <f>Bitácora!M65</f>
        <v>0</v>
      </c>
      <c r="E118" s="3">
        <f>Bitácora!N65</f>
        <v>0</v>
      </c>
      <c r="F118" s="3">
        <f>Bitácora!O65</f>
        <v>0</v>
      </c>
      <c r="G118" s="3">
        <f>Bitácora!Q65</f>
        <v>0</v>
      </c>
      <c r="H118" s="3">
        <f>Bitácora!R65</f>
        <v>0</v>
      </c>
    </row>
    <row r="119" spans="1:8" hidden="1" x14ac:dyDescent="0.2">
      <c r="A119" s="7">
        <f>Bitácora!A66</f>
        <v>0</v>
      </c>
      <c r="B119" s="3">
        <f>Bitácora!B66</f>
        <v>0</v>
      </c>
      <c r="C119" s="3">
        <f>Bitácora!C66</f>
        <v>0</v>
      </c>
      <c r="D119" s="3">
        <f>Bitácora!M66</f>
        <v>0</v>
      </c>
      <c r="E119" s="3">
        <f>Bitácora!N66</f>
        <v>0</v>
      </c>
      <c r="F119" s="3">
        <f>Bitácora!O66</f>
        <v>0</v>
      </c>
      <c r="G119" s="3">
        <f>Bitácora!Q66</f>
        <v>0</v>
      </c>
      <c r="H119" s="3">
        <f>Bitácora!R66</f>
        <v>0</v>
      </c>
    </row>
    <row r="120" spans="1:8" hidden="1" x14ac:dyDescent="0.2">
      <c r="A120" s="7">
        <f>Bitácora!A67</f>
        <v>0</v>
      </c>
      <c r="B120" s="3">
        <f>Bitácora!B67</f>
        <v>0</v>
      </c>
      <c r="C120" s="3">
        <f>Bitácora!C67</f>
        <v>0</v>
      </c>
      <c r="D120" s="3">
        <f>Bitácora!M67</f>
        <v>0</v>
      </c>
      <c r="E120" s="3">
        <f>Bitácora!N67</f>
        <v>0</v>
      </c>
      <c r="F120" s="3">
        <f>Bitácora!O67</f>
        <v>0</v>
      </c>
      <c r="G120" s="3">
        <f>Bitácora!Q67</f>
        <v>0</v>
      </c>
      <c r="H120" s="3">
        <f>Bitácora!R67</f>
        <v>0</v>
      </c>
    </row>
    <row r="121" spans="1:8" hidden="1" x14ac:dyDescent="0.2">
      <c r="A121" s="7">
        <f>Bitácora!A68</f>
        <v>0</v>
      </c>
      <c r="B121" s="3">
        <f>Bitácora!B68</f>
        <v>0</v>
      </c>
      <c r="C121" s="3">
        <f>Bitácora!C68</f>
        <v>0</v>
      </c>
      <c r="D121" s="3">
        <f>Bitácora!M68</f>
        <v>0</v>
      </c>
      <c r="E121" s="3">
        <f>Bitácora!N68</f>
        <v>0</v>
      </c>
      <c r="F121" s="3">
        <f>Bitácora!O68</f>
        <v>0</v>
      </c>
      <c r="G121" s="3">
        <f>Bitácora!Q68</f>
        <v>0</v>
      </c>
      <c r="H121" s="3">
        <f>Bitácora!R68</f>
        <v>0</v>
      </c>
    </row>
    <row r="122" spans="1:8" hidden="1" x14ac:dyDescent="0.2">
      <c r="A122" s="7">
        <f>Bitácora!A69</f>
        <v>0</v>
      </c>
      <c r="B122" s="3">
        <f>Bitácora!B69</f>
        <v>0</v>
      </c>
      <c r="C122" s="3">
        <f>Bitácora!C69</f>
        <v>0</v>
      </c>
      <c r="D122" s="3">
        <f>Bitácora!M69</f>
        <v>0</v>
      </c>
      <c r="E122" s="3">
        <f>Bitácora!N69</f>
        <v>0</v>
      </c>
      <c r="F122" s="3">
        <f>Bitácora!O69</f>
        <v>0</v>
      </c>
      <c r="G122" s="3">
        <f>Bitácora!Q69</f>
        <v>0</v>
      </c>
      <c r="H122" s="3">
        <f>Bitácora!R69</f>
        <v>0</v>
      </c>
    </row>
    <row r="123" spans="1:8" hidden="1" x14ac:dyDescent="0.2">
      <c r="A123" s="7">
        <f>Bitácora!A70</f>
        <v>0</v>
      </c>
      <c r="B123" s="3">
        <f>Bitácora!B70</f>
        <v>0</v>
      </c>
      <c r="C123" s="3">
        <f>Bitácora!C70</f>
        <v>0</v>
      </c>
      <c r="D123" s="3">
        <f>Bitácora!M70</f>
        <v>0</v>
      </c>
      <c r="E123" s="3">
        <f>Bitácora!N70</f>
        <v>0</v>
      </c>
      <c r="F123" s="3">
        <f>Bitácora!O70</f>
        <v>0</v>
      </c>
      <c r="G123" s="3">
        <f>Bitácora!Q70</f>
        <v>0</v>
      </c>
      <c r="H123" s="3">
        <f>Bitácora!R70</f>
        <v>0</v>
      </c>
    </row>
    <row r="124" spans="1:8" hidden="1" x14ac:dyDescent="0.2">
      <c r="A124" s="7">
        <f>Bitácora!A71</f>
        <v>0</v>
      </c>
      <c r="B124" s="3">
        <f>Bitácora!B71</f>
        <v>0</v>
      </c>
      <c r="C124" s="3">
        <f>Bitácora!C71</f>
        <v>0</v>
      </c>
      <c r="D124" s="3">
        <f>Bitácora!M71</f>
        <v>0</v>
      </c>
      <c r="E124" s="3">
        <f>Bitácora!N71</f>
        <v>0</v>
      </c>
      <c r="F124" s="3">
        <f>Bitácora!O71</f>
        <v>0</v>
      </c>
      <c r="G124" s="3">
        <f>Bitácora!Q71</f>
        <v>0</v>
      </c>
      <c r="H124" s="3">
        <f>Bitácora!R71</f>
        <v>0</v>
      </c>
    </row>
    <row r="125" spans="1:8" hidden="1" x14ac:dyDescent="0.2">
      <c r="A125" s="7">
        <f>Bitácora!A72</f>
        <v>0</v>
      </c>
      <c r="B125" s="3">
        <f>Bitácora!B72</f>
        <v>0</v>
      </c>
      <c r="C125" s="3">
        <f>Bitácora!C72</f>
        <v>0</v>
      </c>
      <c r="D125" s="3">
        <f>Bitácora!M72</f>
        <v>0</v>
      </c>
      <c r="E125" s="3">
        <f>Bitácora!N72</f>
        <v>0</v>
      </c>
      <c r="F125" s="3">
        <f>Bitácora!O72</f>
        <v>0</v>
      </c>
      <c r="G125" s="3">
        <f>Bitácora!Q72</f>
        <v>0</v>
      </c>
      <c r="H125" s="3">
        <f>Bitácora!R72</f>
        <v>0</v>
      </c>
    </row>
    <row r="126" spans="1:8" hidden="1" x14ac:dyDescent="0.2">
      <c r="A126" s="7">
        <f>Bitácora!A73</f>
        <v>0</v>
      </c>
      <c r="B126" s="3">
        <f>Bitácora!B73</f>
        <v>0</v>
      </c>
      <c r="C126" s="3">
        <f>Bitácora!C73</f>
        <v>0</v>
      </c>
      <c r="D126" s="3">
        <f>Bitácora!M73</f>
        <v>0</v>
      </c>
      <c r="E126" s="3">
        <f>Bitácora!N73</f>
        <v>0</v>
      </c>
      <c r="F126" s="3">
        <f>Bitácora!O73</f>
        <v>0</v>
      </c>
      <c r="G126" s="3">
        <f>Bitácora!Q73</f>
        <v>0</v>
      </c>
      <c r="H126" s="3">
        <f>Bitácora!R73</f>
        <v>0</v>
      </c>
    </row>
    <row r="127" spans="1:8" hidden="1" x14ac:dyDescent="0.2">
      <c r="A127" s="7">
        <f>Bitácora!A74</f>
        <v>0</v>
      </c>
      <c r="B127" s="3">
        <f>Bitácora!B74</f>
        <v>0</v>
      </c>
      <c r="C127" s="3">
        <f>Bitácora!C74</f>
        <v>0</v>
      </c>
      <c r="D127" s="3">
        <f>Bitácora!M74</f>
        <v>0</v>
      </c>
      <c r="E127" s="3">
        <f>Bitácora!N74</f>
        <v>0</v>
      </c>
      <c r="F127" s="3">
        <f>Bitácora!O74</f>
        <v>0</v>
      </c>
      <c r="G127" s="3">
        <f>Bitácora!Q74</f>
        <v>0</v>
      </c>
      <c r="H127" s="3">
        <f>Bitácora!R74</f>
        <v>0</v>
      </c>
    </row>
    <row r="128" spans="1:8" hidden="1" x14ac:dyDescent="0.2">
      <c r="A128" s="7">
        <f>Bitácora!A75</f>
        <v>0</v>
      </c>
      <c r="B128" s="3">
        <f>Bitácora!B75</f>
        <v>0</v>
      </c>
      <c r="C128" s="3">
        <f>Bitácora!C75</f>
        <v>0</v>
      </c>
      <c r="D128" s="3">
        <f>Bitácora!M75</f>
        <v>0</v>
      </c>
      <c r="E128" s="3">
        <f>Bitácora!N75</f>
        <v>0</v>
      </c>
      <c r="F128" s="3">
        <f>Bitácora!O75</f>
        <v>0</v>
      </c>
      <c r="G128" s="3">
        <f>Bitácora!Q75</f>
        <v>0</v>
      </c>
      <c r="H128" s="3">
        <f>Bitácora!R75</f>
        <v>0</v>
      </c>
    </row>
    <row r="129" spans="1:8" hidden="1" x14ac:dyDescent="0.2">
      <c r="A129" s="7">
        <f>Bitácora!A76</f>
        <v>0</v>
      </c>
      <c r="B129" s="3">
        <f>Bitácora!B76</f>
        <v>0</v>
      </c>
      <c r="C129" s="3">
        <f>Bitácora!C76</f>
        <v>0</v>
      </c>
      <c r="D129" s="3">
        <f>Bitácora!M76</f>
        <v>0</v>
      </c>
      <c r="E129" s="3">
        <f>Bitácora!N76</f>
        <v>0</v>
      </c>
      <c r="F129" s="3">
        <f>Bitácora!O76</f>
        <v>0</v>
      </c>
      <c r="G129" s="3">
        <f>Bitácora!Q76</f>
        <v>0</v>
      </c>
      <c r="H129" s="3">
        <f>Bitácora!R76</f>
        <v>0</v>
      </c>
    </row>
    <row r="130" spans="1:8" hidden="1" x14ac:dyDescent="0.2">
      <c r="A130" s="7">
        <f>Bitácora!A77</f>
        <v>0</v>
      </c>
      <c r="B130" s="3">
        <f>Bitácora!B77</f>
        <v>0</v>
      </c>
      <c r="C130" s="3">
        <f>Bitácora!C77</f>
        <v>0</v>
      </c>
      <c r="D130" s="3">
        <f>Bitácora!M77</f>
        <v>0</v>
      </c>
      <c r="E130" s="3">
        <f>Bitácora!N77</f>
        <v>0</v>
      </c>
      <c r="F130" s="3">
        <f>Bitácora!O77</f>
        <v>0</v>
      </c>
      <c r="G130" s="3">
        <f>Bitácora!Q77</f>
        <v>0</v>
      </c>
      <c r="H130" s="3">
        <f>Bitácora!R77</f>
        <v>0</v>
      </c>
    </row>
    <row r="131" spans="1:8" hidden="1" x14ac:dyDescent="0.2">
      <c r="A131" s="7">
        <f>Bitácora!A78</f>
        <v>0</v>
      </c>
      <c r="B131" s="3">
        <f>Bitácora!B78</f>
        <v>0</v>
      </c>
      <c r="C131" s="3">
        <f>Bitácora!C78</f>
        <v>0</v>
      </c>
      <c r="D131" s="3">
        <f>Bitácora!M78</f>
        <v>0</v>
      </c>
      <c r="E131" s="3">
        <f>Bitácora!N78</f>
        <v>0</v>
      </c>
      <c r="F131" s="3">
        <f>Bitácora!O78</f>
        <v>0</v>
      </c>
      <c r="G131" s="3">
        <f>Bitácora!Q78</f>
        <v>0</v>
      </c>
      <c r="H131" s="3">
        <f>Bitácora!R78</f>
        <v>0</v>
      </c>
    </row>
  </sheetData>
  <autoFilter ref="A2:H131" xr:uid="{00000000-0009-0000-0000-000003000000}">
    <filterColumn colId="4">
      <filters>
        <filter val="40 palmeras arecas de bolsa 9*12"/>
      </filters>
    </filterColumn>
  </autoFilter>
  <mergeCells count="1">
    <mergeCell ref="A1:H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82"/>
  <sheetViews>
    <sheetView tabSelected="1" workbookViewId="0">
      <selection activeCell="E105" sqref="E105"/>
    </sheetView>
  </sheetViews>
  <sheetFormatPr defaultColWidth="10.76171875" defaultRowHeight="15" x14ac:dyDescent="0.2"/>
  <cols>
    <col min="4" max="4" width="26.90234375" bestFit="1" customWidth="1"/>
    <col min="5" max="5" width="12.5078125" customWidth="1"/>
  </cols>
  <sheetData>
    <row r="1" spans="1:6" x14ac:dyDescent="0.2">
      <c r="A1" s="22" t="s">
        <v>31</v>
      </c>
      <c r="B1" s="24"/>
      <c r="C1" s="24"/>
      <c r="D1" s="24"/>
      <c r="E1" s="24"/>
      <c r="F1" s="23"/>
    </row>
    <row r="2" spans="1:6" ht="41.25" x14ac:dyDescent="0.2">
      <c r="A2" s="5" t="s">
        <v>14</v>
      </c>
      <c r="B2" s="5" t="s">
        <v>2</v>
      </c>
      <c r="C2" s="5" t="s">
        <v>15</v>
      </c>
      <c r="D2" s="5" t="s">
        <v>3</v>
      </c>
      <c r="E2" s="5" t="s">
        <v>16</v>
      </c>
      <c r="F2" s="5" t="s">
        <v>6</v>
      </c>
    </row>
    <row r="3" spans="1:6" hidden="1" x14ac:dyDescent="0.2">
      <c r="A3" s="6">
        <f>Bitácora!A5</f>
        <v>45842</v>
      </c>
      <c r="B3" s="3" t="str">
        <f>Bitácora!B5</f>
        <v>Liliam-Fermin</v>
      </c>
      <c r="C3" s="3">
        <f>Bitácora!C5</f>
        <v>100</v>
      </c>
      <c r="D3" s="3">
        <f>Bitácora!K5</f>
        <v>0</v>
      </c>
      <c r="E3" s="3">
        <f>Bitácora!L5</f>
        <v>0</v>
      </c>
      <c r="F3" s="3" t="str">
        <f>Bitácora!Q5</f>
        <v>PDMP50006</v>
      </c>
    </row>
    <row r="4" spans="1:6" hidden="1" x14ac:dyDescent="0.2">
      <c r="A4" s="6">
        <f>Bitácora!A6</f>
        <v>45842</v>
      </c>
      <c r="B4" s="3" t="str">
        <f>Bitácora!B6</f>
        <v>Liliam-Fermin</v>
      </c>
      <c r="C4" s="3">
        <f>Bitácora!C6</f>
        <v>29</v>
      </c>
      <c r="D4" s="3">
        <f>Bitácora!K6</f>
        <v>0</v>
      </c>
      <c r="E4" s="3">
        <f>Bitácora!L6</f>
        <v>0</v>
      </c>
      <c r="F4" s="3" t="str">
        <f>Bitácora!Q6</f>
        <v>PPMP11036</v>
      </c>
    </row>
    <row r="5" spans="1:6" hidden="1" x14ac:dyDescent="0.2">
      <c r="A5" s="6">
        <f>Bitácora!A7</f>
        <v>45848</v>
      </c>
      <c r="B5" s="3" t="str">
        <f>Bitácora!B7</f>
        <v>Liliam-Idalia-Lidia</v>
      </c>
      <c r="C5" s="3">
        <f>Bitácora!C7</f>
        <v>10</v>
      </c>
      <c r="D5" s="3">
        <f>Bitácora!K7</f>
        <v>0</v>
      </c>
      <c r="E5" s="3">
        <f>Bitácora!L7</f>
        <v>0</v>
      </c>
      <c r="F5" s="3" t="str">
        <f>Bitácora!Q7</f>
        <v>PPCA01024</v>
      </c>
    </row>
    <row r="6" spans="1:6" hidden="1" x14ac:dyDescent="0.2">
      <c r="A6" s="6">
        <f>Bitácora!A8</f>
        <v>45848</v>
      </c>
      <c r="B6" s="3" t="str">
        <f>Bitácora!B8</f>
        <v>Liliam-Idalia-Lidia</v>
      </c>
      <c r="C6" s="3">
        <f>Bitácora!C8</f>
        <v>25</v>
      </c>
      <c r="D6" s="3">
        <f>Bitácora!K8</f>
        <v>0</v>
      </c>
      <c r="E6" s="3">
        <f>Bitácora!L8</f>
        <v>0</v>
      </c>
      <c r="F6" s="3" t="str">
        <f>Bitácora!Q8</f>
        <v>PQCA01001</v>
      </c>
    </row>
    <row r="7" spans="1:6" hidden="1" x14ac:dyDescent="0.2">
      <c r="A7" s="6">
        <f>Bitácora!A9</f>
        <v>45848</v>
      </c>
      <c r="B7" s="3" t="str">
        <f>Bitácora!B9</f>
        <v>Liliam-Idalia-Lidia</v>
      </c>
      <c r="C7" s="3">
        <f>Bitácora!C9</f>
        <v>29</v>
      </c>
      <c r="D7" s="3">
        <f>Bitácora!K9</f>
        <v>0</v>
      </c>
      <c r="E7" s="3">
        <f>Bitácora!L9</f>
        <v>0</v>
      </c>
      <c r="F7" s="3" t="str">
        <f>Bitácora!Q9</f>
        <v>PFMP03120</v>
      </c>
    </row>
    <row r="8" spans="1:6" hidden="1" x14ac:dyDescent="0.2">
      <c r="A8" s="6">
        <f>Bitácora!A10</f>
        <v>45852</v>
      </c>
      <c r="B8" s="3" t="str">
        <f>Bitácora!B10</f>
        <v>Lidia-Idalia-Lidia</v>
      </c>
      <c r="C8" s="3">
        <f>Bitácora!C10</f>
        <v>55</v>
      </c>
      <c r="D8" s="3">
        <f>Bitácora!K10</f>
        <v>0</v>
      </c>
      <c r="E8" s="3">
        <f>Bitácora!L10</f>
        <v>0</v>
      </c>
      <c r="F8" s="3" t="str">
        <f>Bitácora!Q10</f>
        <v>PDMP04005</v>
      </c>
    </row>
    <row r="9" spans="1:6" hidden="1" x14ac:dyDescent="0.2">
      <c r="A9" s="6">
        <f>Bitácora!A11</f>
        <v>45852</v>
      </c>
      <c r="B9" s="3" t="str">
        <f>Bitácora!B11</f>
        <v>Lidia-Idalia-Lidia</v>
      </c>
      <c r="C9" s="3">
        <f>Bitácora!C11</f>
        <v>75</v>
      </c>
      <c r="D9" s="3">
        <f>Bitácora!K11</f>
        <v>0</v>
      </c>
      <c r="E9" s="3">
        <f>Bitácora!L11</f>
        <v>0</v>
      </c>
      <c r="F9" s="3" t="str">
        <f>Bitácora!Q11</f>
        <v>PDMP50006</v>
      </c>
    </row>
    <row r="10" spans="1:6" hidden="1" x14ac:dyDescent="0.2">
      <c r="A10" s="6">
        <f>Bitácora!A12</f>
        <v>45852</v>
      </c>
      <c r="B10" s="3" t="str">
        <f>Bitácora!B12</f>
        <v>Lidia-Idalia-Lidia</v>
      </c>
      <c r="C10" s="3">
        <f>Bitácora!C12</f>
        <v>46</v>
      </c>
      <c r="D10" s="3">
        <f>Bitácora!K12</f>
        <v>0</v>
      </c>
      <c r="E10" s="3">
        <f>Bitácora!L12</f>
        <v>0</v>
      </c>
      <c r="F10" s="3" t="str">
        <f>Bitácora!Q12</f>
        <v>PSMP61009</v>
      </c>
    </row>
    <row r="11" spans="1:6" hidden="1" x14ac:dyDescent="0.2">
      <c r="A11" s="6">
        <f>Bitácora!A13</f>
        <v>45853</v>
      </c>
      <c r="B11" s="3" t="str">
        <f>Bitácora!B13</f>
        <v>Lidia-Idalia-Lidia</v>
      </c>
      <c r="C11" s="3">
        <f>Bitácora!C13</f>
        <v>141</v>
      </c>
      <c r="D11" s="3">
        <f>Bitácora!K13</f>
        <v>0</v>
      </c>
      <c r="E11" s="3">
        <f>Bitácora!L13</f>
        <v>0</v>
      </c>
      <c r="F11" s="3" t="str">
        <f>Bitácora!Q13</f>
        <v>PDMP50006</v>
      </c>
    </row>
    <row r="12" spans="1:6" hidden="1" x14ac:dyDescent="0.2">
      <c r="A12" s="6">
        <f>Bitácora!A14</f>
        <v>45854</v>
      </c>
      <c r="B12" s="3" t="str">
        <f>Bitácora!B14</f>
        <v>Misael</v>
      </c>
      <c r="C12" s="3">
        <f>Bitácora!C14</f>
        <v>20</v>
      </c>
      <c r="D12" s="3">
        <f>Bitácora!K14</f>
        <v>0</v>
      </c>
      <c r="E12" s="3">
        <f>Bitácora!L14</f>
        <v>0</v>
      </c>
      <c r="F12" s="3" t="str">
        <f>Bitácora!Q14</f>
        <v>PPCA01039</v>
      </c>
    </row>
    <row r="13" spans="1:6" hidden="1" x14ac:dyDescent="0.2">
      <c r="A13" s="6">
        <f>Bitácora!A15</f>
        <v>45854</v>
      </c>
      <c r="B13" s="3" t="str">
        <f>Bitácora!B15</f>
        <v>Misael</v>
      </c>
      <c r="C13" s="3">
        <f>Bitácora!C15</f>
        <v>11</v>
      </c>
      <c r="D13" s="3">
        <f>Bitácora!K15</f>
        <v>0</v>
      </c>
      <c r="E13" s="3">
        <f>Bitácora!L15</f>
        <v>0</v>
      </c>
      <c r="F13" s="3" t="str">
        <f>Bitácora!Q15</f>
        <v>PSMP03011</v>
      </c>
    </row>
    <row r="14" spans="1:6" hidden="1" x14ac:dyDescent="0.2">
      <c r="A14" s="6">
        <f>Bitácora!A16</f>
        <v>45854</v>
      </c>
      <c r="B14" s="3" t="str">
        <f>Bitácora!B16</f>
        <v>Misael</v>
      </c>
      <c r="C14" s="3">
        <f>Bitácora!C16</f>
        <v>10</v>
      </c>
      <c r="D14" s="3">
        <f>Bitácora!K16</f>
        <v>0</v>
      </c>
      <c r="E14" s="3">
        <f>Bitácora!L16</f>
        <v>0</v>
      </c>
      <c r="F14" s="3" t="str">
        <f>Bitácora!Q16</f>
        <v>PAMP04021</v>
      </c>
    </row>
    <row r="15" spans="1:6" hidden="1" x14ac:dyDescent="0.2">
      <c r="A15" s="6">
        <f>Bitácora!A17</f>
        <v>45855</v>
      </c>
      <c r="B15" s="3" t="str">
        <f>Bitácora!B17</f>
        <v>Liliam-Idalia</v>
      </c>
      <c r="C15" s="3">
        <f>Bitácora!C17</f>
        <v>20</v>
      </c>
      <c r="D15" s="3">
        <f>Bitácora!K17</f>
        <v>0</v>
      </c>
      <c r="E15" s="3">
        <f>Bitácora!L17</f>
        <v>0</v>
      </c>
      <c r="F15" s="3" t="str">
        <f>Bitácora!Q17</f>
        <v>PPMP09002</v>
      </c>
    </row>
    <row r="16" spans="1:6" hidden="1" x14ac:dyDescent="0.2">
      <c r="A16" s="6">
        <f>Bitácora!A18</f>
        <v>45855</v>
      </c>
      <c r="B16" s="3" t="str">
        <f>Bitácora!B18</f>
        <v>Liliam-Idalia</v>
      </c>
      <c r="C16" s="3">
        <f>Bitácora!C18</f>
        <v>10</v>
      </c>
      <c r="D16" s="3">
        <f>Bitácora!K18</f>
        <v>0</v>
      </c>
      <c r="E16" s="3">
        <f>Bitácora!L18</f>
        <v>0</v>
      </c>
      <c r="F16" s="3" t="str">
        <f>Bitácora!Q18</f>
        <v>PPMP06029</v>
      </c>
    </row>
    <row r="17" spans="1:6" hidden="1" x14ac:dyDescent="0.2">
      <c r="A17" s="6">
        <f>Bitácora!A19</f>
        <v>45855</v>
      </c>
      <c r="B17" s="3" t="str">
        <f>Bitácora!B19</f>
        <v>Alejandro</v>
      </c>
      <c r="C17" s="3">
        <f>Bitácora!C19</f>
        <v>30</v>
      </c>
      <c r="D17" s="3">
        <f>Bitácora!K19</f>
        <v>0</v>
      </c>
      <c r="E17" s="3">
        <f>Bitácora!L19</f>
        <v>0</v>
      </c>
      <c r="F17" s="3" t="str">
        <f>Bitácora!Q19</f>
        <v>PAMP01020</v>
      </c>
    </row>
    <row r="18" spans="1:6" hidden="1" x14ac:dyDescent="0.2">
      <c r="A18" s="6">
        <f>Bitácora!A20</f>
        <v>45861</v>
      </c>
      <c r="B18" s="3" t="str">
        <f>Bitácora!B20</f>
        <v>Edwin</v>
      </c>
      <c r="C18" s="3">
        <f>Bitácora!C20</f>
        <v>30</v>
      </c>
      <c r="D18" s="3">
        <f>Bitácora!K20</f>
        <v>0</v>
      </c>
      <c r="E18" s="3">
        <f>Bitácora!L20</f>
        <v>0</v>
      </c>
      <c r="F18" s="3" t="str">
        <f>Bitácora!Q20</f>
        <v>PFMP11020</v>
      </c>
    </row>
    <row r="19" spans="1:6" hidden="1" x14ac:dyDescent="0.2">
      <c r="A19" s="6">
        <f>Bitácora!A21</f>
        <v>45862</v>
      </c>
      <c r="B19" s="3" t="str">
        <f>Bitácora!B21</f>
        <v>Liliam-Idalia-Edwin</v>
      </c>
      <c r="C19" s="3">
        <f>Bitácora!C21</f>
        <v>69</v>
      </c>
      <c r="D19" s="3">
        <f>Bitácora!K21</f>
        <v>0</v>
      </c>
      <c r="E19" s="3">
        <f>Bitácora!L21</f>
        <v>0</v>
      </c>
      <c r="F19" s="3" t="str">
        <f>Bitácora!Q21</f>
        <v>PAMP01020</v>
      </c>
    </row>
    <row r="20" spans="1:6" hidden="1" x14ac:dyDescent="0.2">
      <c r="A20" s="6">
        <f>Bitácora!A22</f>
        <v>45862</v>
      </c>
      <c r="B20" s="3" t="str">
        <f>Bitácora!B22</f>
        <v>Liliam-Idalia-Edwin</v>
      </c>
      <c r="C20" s="3">
        <f>Bitácora!C22</f>
        <v>3</v>
      </c>
      <c r="D20" s="3">
        <f>Bitácora!K22</f>
        <v>0</v>
      </c>
      <c r="E20" s="3">
        <f>Bitácora!L22</f>
        <v>0</v>
      </c>
      <c r="F20" s="3" t="str">
        <f>Bitácora!Q22</f>
        <v>PFMP11020</v>
      </c>
    </row>
    <row r="21" spans="1:6" hidden="1" x14ac:dyDescent="0.2">
      <c r="A21" s="6">
        <f>Bitácora!A23</f>
        <v>45866</v>
      </c>
      <c r="B21" s="3" t="str">
        <f>Bitácora!B23</f>
        <v>Misael-Julio-Liliam-idalia</v>
      </c>
      <c r="C21" s="3">
        <f>Bitácora!C23</f>
        <v>15</v>
      </c>
      <c r="D21" s="3">
        <f>Bitácora!K23</f>
        <v>0</v>
      </c>
      <c r="E21" s="3">
        <f>Bitácora!L23</f>
        <v>0</v>
      </c>
      <c r="F21" s="3" t="str">
        <f>Bitácora!Q23</f>
        <v>PQCA01001</v>
      </c>
    </row>
    <row r="22" spans="1:6" hidden="1" x14ac:dyDescent="0.2">
      <c r="A22" s="6">
        <f>Bitácora!A24</f>
        <v>45866</v>
      </c>
      <c r="B22" s="3" t="str">
        <f>Bitácora!B24</f>
        <v>Misael-Julio-Liliam-idalia</v>
      </c>
      <c r="C22" s="3">
        <f>Bitácora!C24</f>
        <v>13</v>
      </c>
      <c r="D22" s="3">
        <f>Bitácora!K24</f>
        <v>0</v>
      </c>
      <c r="E22" s="3">
        <f>Bitácora!L24</f>
        <v>0</v>
      </c>
      <c r="F22" s="3" t="str">
        <f>Bitácora!Q24</f>
        <v>PPCA01039</v>
      </c>
    </row>
    <row r="23" spans="1:6" hidden="1" x14ac:dyDescent="0.2">
      <c r="A23" s="6">
        <f>Bitácora!A25</f>
        <v>45867</v>
      </c>
      <c r="B23" s="3" t="str">
        <f>Bitácora!B25</f>
        <v>Joel</v>
      </c>
      <c r="C23" s="3">
        <f>Bitácora!C25</f>
        <v>100</v>
      </c>
      <c r="D23" s="3">
        <f>Bitácora!K25</f>
        <v>0</v>
      </c>
      <c r="E23" s="3">
        <f>Bitácora!L25</f>
        <v>0</v>
      </c>
      <c r="F23" s="3" t="str">
        <f>Bitácora!Q25</f>
        <v>PDMP50006</v>
      </c>
    </row>
    <row r="24" spans="1:6" hidden="1" x14ac:dyDescent="0.2">
      <c r="A24" s="6">
        <f>Bitácora!A26</f>
        <v>45869</v>
      </c>
      <c r="B24" s="3" t="str">
        <f>Bitácora!B26</f>
        <v>Joel-william- Julio</v>
      </c>
      <c r="C24" s="3">
        <f>Bitácora!C26</f>
        <v>125</v>
      </c>
      <c r="D24" s="3">
        <f>Bitácora!K26</f>
        <v>0</v>
      </c>
      <c r="E24" s="3">
        <f>Bitácora!L26</f>
        <v>0</v>
      </c>
      <c r="F24" s="3" t="str">
        <f>Bitácora!Q26</f>
        <v>PPMP06029</v>
      </c>
    </row>
    <row r="25" spans="1:6" ht="27.75" x14ac:dyDescent="0.2">
      <c r="A25" s="6">
        <f>Bitácora!A27</f>
        <v>45869</v>
      </c>
      <c r="B25" s="3" t="str">
        <f>Bitácora!B27</f>
        <v>Joel-william- Julio</v>
      </c>
      <c r="C25" s="3">
        <f>Bitácora!C27</f>
        <v>25</v>
      </c>
      <c r="D25" s="3" t="str">
        <f>Bitácora!K27</f>
        <v>25Ficus elastica MP#1 dec</v>
      </c>
      <c r="E25" s="3" t="str">
        <f>Bitácora!L27</f>
        <v>Vivero 60%, Mod 24</v>
      </c>
      <c r="F25" s="3">
        <f>Bitácora!Q27</f>
        <v>0</v>
      </c>
    </row>
    <row r="26" spans="1:6" hidden="1" x14ac:dyDescent="0.2">
      <c r="A26" s="6">
        <f>Bitácora!A28</f>
        <v>0</v>
      </c>
      <c r="B26" s="3">
        <f>Bitácora!B28</f>
        <v>0</v>
      </c>
      <c r="C26" s="3">
        <f>Bitácora!C28</f>
        <v>0</v>
      </c>
      <c r="D26" s="3">
        <f>Bitácora!K28</f>
        <v>0</v>
      </c>
      <c r="E26" s="3">
        <f>Bitácora!L28</f>
        <v>0</v>
      </c>
      <c r="F26" s="3">
        <f>Bitácora!Q28</f>
        <v>0</v>
      </c>
    </row>
    <row r="27" spans="1:6" hidden="1" x14ac:dyDescent="0.2">
      <c r="A27" s="6">
        <f>Bitácora!A29</f>
        <v>0</v>
      </c>
      <c r="B27" s="3">
        <f>Bitácora!B29</f>
        <v>0</v>
      </c>
      <c r="C27" s="3">
        <f>Bitácora!C29</f>
        <v>0</v>
      </c>
      <c r="D27" s="3">
        <f>Bitácora!K29</f>
        <v>0</v>
      </c>
      <c r="E27" s="3">
        <f>Bitácora!L29</f>
        <v>0</v>
      </c>
      <c r="F27" s="3">
        <f>Bitácora!Q29</f>
        <v>0</v>
      </c>
    </row>
    <row r="28" spans="1:6" hidden="1" x14ac:dyDescent="0.2">
      <c r="A28" s="6">
        <f>Bitácora!A30</f>
        <v>0</v>
      </c>
      <c r="B28" s="3">
        <f>Bitácora!B30</f>
        <v>0</v>
      </c>
      <c r="C28" s="3">
        <f>Bitácora!C30</f>
        <v>0</v>
      </c>
      <c r="D28" s="3">
        <f>Bitácora!K30</f>
        <v>0</v>
      </c>
      <c r="E28" s="3">
        <f>Bitácora!L30</f>
        <v>0</v>
      </c>
      <c r="F28" s="3">
        <f>Bitácora!Q30</f>
        <v>0</v>
      </c>
    </row>
    <row r="29" spans="1:6" hidden="1" x14ac:dyDescent="0.2">
      <c r="A29" s="6">
        <f>Bitácora!A31</f>
        <v>0</v>
      </c>
      <c r="B29" s="3">
        <f>Bitácora!B31</f>
        <v>0</v>
      </c>
      <c r="C29" s="3">
        <f>Bitácora!C31</f>
        <v>0</v>
      </c>
      <c r="D29" s="3">
        <f>Bitácora!K31</f>
        <v>0</v>
      </c>
      <c r="E29" s="3">
        <f>Bitácora!L31</f>
        <v>0</v>
      </c>
      <c r="F29" s="3">
        <f>Bitácora!Q31</f>
        <v>0</v>
      </c>
    </row>
    <row r="30" spans="1:6" hidden="1" x14ac:dyDescent="0.2">
      <c r="A30" s="6">
        <f>Bitácora!A32</f>
        <v>0</v>
      </c>
      <c r="B30" s="3">
        <f>Bitácora!B32</f>
        <v>0</v>
      </c>
      <c r="C30" s="3">
        <f>Bitácora!C32</f>
        <v>0</v>
      </c>
      <c r="D30" s="3">
        <f>Bitácora!K32</f>
        <v>0</v>
      </c>
      <c r="E30" s="3">
        <f>Bitácora!L32</f>
        <v>0</v>
      </c>
      <c r="F30" s="3">
        <f>Bitácora!Q32</f>
        <v>0</v>
      </c>
    </row>
    <row r="31" spans="1:6" hidden="1" x14ac:dyDescent="0.2">
      <c r="A31" s="6">
        <f>Bitácora!A33</f>
        <v>0</v>
      </c>
      <c r="B31" s="3">
        <f>Bitácora!B33</f>
        <v>0</v>
      </c>
      <c r="C31" s="3">
        <f>Bitácora!C33</f>
        <v>0</v>
      </c>
      <c r="D31" s="3">
        <f>Bitácora!K33</f>
        <v>0</v>
      </c>
      <c r="E31" s="3">
        <f>Bitácora!L33</f>
        <v>0</v>
      </c>
      <c r="F31" s="3">
        <f>Bitácora!Q33</f>
        <v>0</v>
      </c>
    </row>
    <row r="32" spans="1:6" hidden="1" x14ac:dyDescent="0.2">
      <c r="A32" s="6">
        <f>Bitácora!A34</f>
        <v>0</v>
      </c>
      <c r="B32" s="3">
        <f>Bitácora!B34</f>
        <v>0</v>
      </c>
      <c r="C32" s="3">
        <f>Bitácora!C34</f>
        <v>0</v>
      </c>
      <c r="D32" s="3">
        <f>Bitácora!K34</f>
        <v>0</v>
      </c>
      <c r="E32" s="3">
        <f>Bitácora!L34</f>
        <v>0</v>
      </c>
      <c r="F32" s="3">
        <f>Bitácora!Q34</f>
        <v>0</v>
      </c>
    </row>
    <row r="33" spans="1:6" hidden="1" x14ac:dyDescent="0.2">
      <c r="A33" s="6">
        <f>Bitácora!A35</f>
        <v>0</v>
      </c>
      <c r="B33" s="3">
        <f>Bitácora!B35</f>
        <v>0</v>
      </c>
      <c r="C33" s="3">
        <f>Bitácora!C35</f>
        <v>0</v>
      </c>
      <c r="D33" s="3">
        <f>Bitácora!K35</f>
        <v>0</v>
      </c>
      <c r="E33" s="3">
        <f>Bitácora!L35</f>
        <v>0</v>
      </c>
      <c r="F33" s="3">
        <f>Bitácora!Q35</f>
        <v>0</v>
      </c>
    </row>
    <row r="34" spans="1:6" hidden="1" x14ac:dyDescent="0.2">
      <c r="A34" s="6">
        <f>Bitácora!A36</f>
        <v>0</v>
      </c>
      <c r="B34" s="3">
        <f>Bitácora!B36</f>
        <v>0</v>
      </c>
      <c r="C34" s="3">
        <f>Bitácora!C36</f>
        <v>0</v>
      </c>
      <c r="D34" s="3">
        <f>Bitácora!K36</f>
        <v>0</v>
      </c>
      <c r="E34" s="3">
        <f>Bitácora!L36</f>
        <v>0</v>
      </c>
      <c r="F34" s="3">
        <f>Bitácora!Q36</f>
        <v>0</v>
      </c>
    </row>
    <row r="35" spans="1:6" hidden="1" x14ac:dyDescent="0.2">
      <c r="A35" s="6">
        <f>Bitácora!A37</f>
        <v>0</v>
      </c>
      <c r="B35" s="3">
        <f>Bitácora!B37</f>
        <v>0</v>
      </c>
      <c r="C35" s="3">
        <f>Bitácora!C37</f>
        <v>0</v>
      </c>
      <c r="D35" s="3">
        <f>Bitácora!K37</f>
        <v>0</v>
      </c>
      <c r="E35" s="3">
        <f>Bitácora!L37</f>
        <v>0</v>
      </c>
      <c r="F35" s="3">
        <f>Bitácora!Q37</f>
        <v>0</v>
      </c>
    </row>
    <row r="36" spans="1:6" hidden="1" x14ac:dyDescent="0.2">
      <c r="A36" s="6">
        <f>Bitácora!A38</f>
        <v>0</v>
      </c>
      <c r="B36" s="3">
        <f>Bitácora!B38</f>
        <v>0</v>
      </c>
      <c r="C36" s="3">
        <f>Bitácora!C38</f>
        <v>0</v>
      </c>
      <c r="D36" s="3">
        <f>Bitácora!K38</f>
        <v>0</v>
      </c>
      <c r="E36" s="3">
        <f>Bitácora!L38</f>
        <v>0</v>
      </c>
      <c r="F36" s="3">
        <f>Bitácora!Q38</f>
        <v>0</v>
      </c>
    </row>
    <row r="37" spans="1:6" hidden="1" x14ac:dyDescent="0.2">
      <c r="A37" s="6">
        <f>Bitácora!A39</f>
        <v>0</v>
      </c>
      <c r="B37" s="3">
        <f>Bitácora!B39</f>
        <v>0</v>
      </c>
      <c r="C37" s="3">
        <f>Bitácora!C39</f>
        <v>0</v>
      </c>
      <c r="D37" s="3">
        <f>Bitácora!K39</f>
        <v>0</v>
      </c>
      <c r="E37" s="3">
        <f>Bitácora!L39</f>
        <v>0</v>
      </c>
      <c r="F37" s="3">
        <f>Bitácora!Q39</f>
        <v>0</v>
      </c>
    </row>
    <row r="38" spans="1:6" hidden="1" x14ac:dyDescent="0.2">
      <c r="A38" s="6">
        <f>Bitácora!A40</f>
        <v>0</v>
      </c>
      <c r="B38" s="3">
        <f>Bitácora!B40</f>
        <v>0</v>
      </c>
      <c r="C38" s="3">
        <f>Bitácora!C40</f>
        <v>0</v>
      </c>
      <c r="D38" s="3">
        <f>Bitácora!K40</f>
        <v>0</v>
      </c>
      <c r="E38" s="3">
        <f>Bitácora!L40</f>
        <v>0</v>
      </c>
      <c r="F38" s="3">
        <f>Bitácora!Q40</f>
        <v>0</v>
      </c>
    </row>
    <row r="39" spans="1:6" hidden="1" x14ac:dyDescent="0.2">
      <c r="A39" s="6">
        <f>Bitácora!A41</f>
        <v>0</v>
      </c>
      <c r="B39" s="3">
        <f>Bitácora!B41</f>
        <v>0</v>
      </c>
      <c r="C39" s="3">
        <f>Bitácora!C41</f>
        <v>0</v>
      </c>
      <c r="D39" s="3">
        <f>Bitácora!K41</f>
        <v>0</v>
      </c>
      <c r="E39" s="3">
        <f>Bitácora!L41</f>
        <v>0</v>
      </c>
      <c r="F39" s="3">
        <f>Bitácora!Q41</f>
        <v>0</v>
      </c>
    </row>
    <row r="40" spans="1:6" hidden="1" x14ac:dyDescent="0.2">
      <c r="A40" s="6">
        <f>Bitácora!A42</f>
        <v>0</v>
      </c>
      <c r="B40" s="3">
        <f>Bitácora!B42</f>
        <v>0</v>
      </c>
      <c r="C40" s="3">
        <f>Bitácora!C42</f>
        <v>0</v>
      </c>
      <c r="D40" s="3">
        <f>Bitácora!K42</f>
        <v>0</v>
      </c>
      <c r="E40" s="3">
        <f>Bitácora!L42</f>
        <v>0</v>
      </c>
      <c r="F40" s="3">
        <f>Bitácora!Q42</f>
        <v>0</v>
      </c>
    </row>
    <row r="41" spans="1:6" hidden="1" x14ac:dyDescent="0.2">
      <c r="A41" s="6">
        <f>Bitácora!A43</f>
        <v>0</v>
      </c>
      <c r="B41" s="3">
        <f>Bitácora!B43</f>
        <v>0</v>
      </c>
      <c r="C41" s="3">
        <f>Bitácora!C43</f>
        <v>0</v>
      </c>
      <c r="D41" s="3">
        <f>Bitácora!K43</f>
        <v>0</v>
      </c>
      <c r="E41" s="3">
        <f>Bitácora!L43</f>
        <v>0</v>
      </c>
      <c r="F41" s="3">
        <f>Bitácora!Q43</f>
        <v>0</v>
      </c>
    </row>
    <row r="42" spans="1:6" hidden="1" x14ac:dyDescent="0.2">
      <c r="A42" s="6">
        <f>Bitácora!A44</f>
        <v>0</v>
      </c>
      <c r="B42" s="3">
        <f>Bitácora!B44</f>
        <v>0</v>
      </c>
      <c r="C42" s="3">
        <f>Bitácora!C44</f>
        <v>0</v>
      </c>
      <c r="D42" s="3">
        <f>Bitácora!K44</f>
        <v>0</v>
      </c>
      <c r="E42" s="3">
        <f>Bitácora!L44</f>
        <v>0</v>
      </c>
      <c r="F42" s="3">
        <f>Bitácora!Q44</f>
        <v>0</v>
      </c>
    </row>
    <row r="43" spans="1:6" hidden="1" x14ac:dyDescent="0.2">
      <c r="A43" s="6">
        <f>Bitácora!A45</f>
        <v>0</v>
      </c>
      <c r="B43" s="3">
        <f>Bitácora!B45</f>
        <v>0</v>
      </c>
      <c r="C43" s="3">
        <f>Bitácora!C45</f>
        <v>0</v>
      </c>
      <c r="D43" s="3">
        <f>Bitácora!K45</f>
        <v>0</v>
      </c>
      <c r="E43" s="3">
        <f>Bitácora!L45</f>
        <v>0</v>
      </c>
      <c r="F43" s="3">
        <f>Bitácora!Q45</f>
        <v>0</v>
      </c>
    </row>
    <row r="44" spans="1:6" hidden="1" x14ac:dyDescent="0.2">
      <c r="A44" s="6">
        <f>Bitácora!A46</f>
        <v>0</v>
      </c>
      <c r="B44" s="3">
        <f>Bitácora!B46</f>
        <v>0</v>
      </c>
      <c r="C44" s="3">
        <f>Bitácora!C46</f>
        <v>0</v>
      </c>
      <c r="D44" s="3">
        <f>Bitácora!K46</f>
        <v>0</v>
      </c>
      <c r="E44" s="3">
        <f>Bitácora!L46</f>
        <v>0</v>
      </c>
      <c r="F44" s="3">
        <f>Bitácora!Q46</f>
        <v>0</v>
      </c>
    </row>
    <row r="45" spans="1:6" hidden="1" x14ac:dyDescent="0.2">
      <c r="A45" s="6">
        <f>Bitácora!A47</f>
        <v>0</v>
      </c>
      <c r="B45" s="3">
        <f>Bitácora!B47</f>
        <v>0</v>
      </c>
      <c r="C45" s="3">
        <f>Bitácora!C47</f>
        <v>0</v>
      </c>
      <c r="D45" s="3">
        <f>Bitácora!K47</f>
        <v>0</v>
      </c>
      <c r="E45" s="3">
        <f>Bitácora!L47</f>
        <v>0</v>
      </c>
      <c r="F45" s="3">
        <f>Bitácora!Q47</f>
        <v>0</v>
      </c>
    </row>
    <row r="46" spans="1:6" hidden="1" x14ac:dyDescent="0.2">
      <c r="A46" s="6">
        <f>Bitácora!A48</f>
        <v>0</v>
      </c>
      <c r="B46" s="3">
        <f>Bitácora!B48</f>
        <v>0</v>
      </c>
      <c r="C46" s="3">
        <f>Bitácora!C48</f>
        <v>0</v>
      </c>
      <c r="D46" s="3">
        <f>Bitácora!K48</f>
        <v>0</v>
      </c>
      <c r="E46" s="3">
        <f>Bitácora!L48</f>
        <v>0</v>
      </c>
      <c r="F46" s="3">
        <f>Bitácora!Q48</f>
        <v>0</v>
      </c>
    </row>
    <row r="47" spans="1:6" hidden="1" x14ac:dyDescent="0.2">
      <c r="A47" s="6">
        <f>Bitácora!A49</f>
        <v>0</v>
      </c>
      <c r="B47" s="3">
        <f>Bitácora!B49</f>
        <v>0</v>
      </c>
      <c r="C47" s="3">
        <f>Bitácora!C49</f>
        <v>0</v>
      </c>
      <c r="D47" s="3">
        <f>Bitácora!K49</f>
        <v>0</v>
      </c>
      <c r="E47" s="3">
        <f>Bitácora!L49</f>
        <v>0</v>
      </c>
      <c r="F47" s="3">
        <f>Bitácora!Q49</f>
        <v>0</v>
      </c>
    </row>
    <row r="48" spans="1:6" hidden="1" x14ac:dyDescent="0.2">
      <c r="A48" s="6">
        <f>Bitácora!A50</f>
        <v>0</v>
      </c>
      <c r="B48" s="3">
        <f>Bitácora!B50</f>
        <v>0</v>
      </c>
      <c r="C48" s="3">
        <f>Bitácora!C50</f>
        <v>0</v>
      </c>
      <c r="D48" s="3">
        <f>Bitácora!K50</f>
        <v>0</v>
      </c>
      <c r="E48" s="3">
        <f>Bitácora!L50</f>
        <v>0</v>
      </c>
      <c r="F48" s="3">
        <f>Bitácora!Q50</f>
        <v>0</v>
      </c>
    </row>
    <row r="49" spans="1:6" hidden="1" x14ac:dyDescent="0.2">
      <c r="A49" s="6">
        <f>Bitácora!A51</f>
        <v>0</v>
      </c>
      <c r="B49" s="3">
        <f>Bitácora!B51</f>
        <v>0</v>
      </c>
      <c r="C49" s="3">
        <f>Bitácora!C51</f>
        <v>0</v>
      </c>
      <c r="D49" s="3">
        <f>Bitácora!K51</f>
        <v>0</v>
      </c>
      <c r="E49" s="3">
        <f>Bitácora!L51</f>
        <v>0</v>
      </c>
      <c r="F49" s="3">
        <f>Bitácora!Q51</f>
        <v>0</v>
      </c>
    </row>
    <row r="50" spans="1:6" hidden="1" x14ac:dyDescent="0.2">
      <c r="A50" s="6">
        <f>Bitácora!A52</f>
        <v>0</v>
      </c>
      <c r="B50" s="3">
        <f>Bitácora!B52</f>
        <v>0</v>
      </c>
      <c r="C50" s="3">
        <f>Bitácora!C52</f>
        <v>0</v>
      </c>
      <c r="D50" s="3">
        <f>Bitácora!K52</f>
        <v>0</v>
      </c>
      <c r="E50" s="3">
        <f>Bitácora!L52</f>
        <v>0</v>
      </c>
      <c r="F50" s="3">
        <f>Bitácora!Q52</f>
        <v>0</v>
      </c>
    </row>
    <row r="51" spans="1:6" hidden="1" x14ac:dyDescent="0.2">
      <c r="A51" s="6">
        <f>Bitácora!A53</f>
        <v>0</v>
      </c>
      <c r="B51" s="3">
        <f>Bitácora!B53</f>
        <v>0</v>
      </c>
      <c r="C51" s="3">
        <f>Bitácora!C53</f>
        <v>0</v>
      </c>
      <c r="D51" s="3">
        <f>Bitácora!K53</f>
        <v>0</v>
      </c>
      <c r="E51" s="3">
        <f>Bitácora!L53</f>
        <v>0</v>
      </c>
      <c r="F51" s="3">
        <f>Bitácora!Q53</f>
        <v>0</v>
      </c>
    </row>
    <row r="52" spans="1:6" hidden="1" x14ac:dyDescent="0.2">
      <c r="A52" s="6">
        <f>Bitácora!A54</f>
        <v>0</v>
      </c>
      <c r="B52" s="3">
        <f>Bitácora!B54</f>
        <v>0</v>
      </c>
      <c r="C52" s="3">
        <f>Bitácora!C54</f>
        <v>0</v>
      </c>
      <c r="D52" s="3">
        <f>Bitácora!K54</f>
        <v>0</v>
      </c>
      <c r="E52" s="3">
        <f>Bitácora!L54</f>
        <v>0</v>
      </c>
      <c r="F52" s="3">
        <f>Bitácora!Q54</f>
        <v>0</v>
      </c>
    </row>
    <row r="53" spans="1:6" hidden="1" x14ac:dyDescent="0.2">
      <c r="A53" s="6">
        <f>Bitácora!A55</f>
        <v>0</v>
      </c>
      <c r="B53" s="3">
        <f>Bitácora!B55</f>
        <v>0</v>
      </c>
      <c r="C53" s="3">
        <f>Bitácora!C55</f>
        <v>0</v>
      </c>
      <c r="D53" s="3">
        <f>Bitácora!K55</f>
        <v>0</v>
      </c>
      <c r="E53" s="3">
        <f>Bitácora!L55</f>
        <v>0</v>
      </c>
      <c r="F53" s="3">
        <f>Bitácora!Q55</f>
        <v>0</v>
      </c>
    </row>
    <row r="54" spans="1:6" hidden="1" x14ac:dyDescent="0.2">
      <c r="A54" s="6">
        <f>Bitácora!A56</f>
        <v>0</v>
      </c>
      <c r="B54" s="3">
        <f>Bitácora!B56</f>
        <v>0</v>
      </c>
      <c r="C54" s="3">
        <f>Bitácora!C56</f>
        <v>0</v>
      </c>
      <c r="D54" s="3">
        <f>Bitácora!K56</f>
        <v>0</v>
      </c>
      <c r="E54" s="3">
        <f>Bitácora!L56</f>
        <v>0</v>
      </c>
      <c r="F54" s="3">
        <f>Bitácora!Q56</f>
        <v>0</v>
      </c>
    </row>
    <row r="55" spans="1:6" hidden="1" x14ac:dyDescent="0.2">
      <c r="A55" s="6">
        <f>Bitácora!A57</f>
        <v>0</v>
      </c>
      <c r="B55" s="3">
        <f>Bitácora!B57</f>
        <v>0</v>
      </c>
      <c r="C55" s="3">
        <f>Bitácora!C57</f>
        <v>0</v>
      </c>
      <c r="D55" s="3">
        <f>Bitácora!K57</f>
        <v>0</v>
      </c>
      <c r="E55" s="3">
        <f>Bitácora!L57</f>
        <v>0</v>
      </c>
      <c r="F55" s="3">
        <f>Bitácora!Q57</f>
        <v>0</v>
      </c>
    </row>
    <row r="56" spans="1:6" hidden="1" x14ac:dyDescent="0.2">
      <c r="A56" s="6">
        <f>Bitácora!A58</f>
        <v>0</v>
      </c>
      <c r="B56" s="3">
        <f>Bitácora!B58</f>
        <v>0</v>
      </c>
      <c r="C56" s="3">
        <f>Bitácora!C58</f>
        <v>0</v>
      </c>
      <c r="D56" s="3">
        <f>Bitácora!K58</f>
        <v>0</v>
      </c>
      <c r="E56" s="3">
        <f>Bitácora!L58</f>
        <v>0</v>
      </c>
      <c r="F56" s="3">
        <f>Bitácora!Q58</f>
        <v>0</v>
      </c>
    </row>
    <row r="57" spans="1:6" hidden="1" x14ac:dyDescent="0.2">
      <c r="A57" s="6">
        <f>Bitácora!A59</f>
        <v>0</v>
      </c>
      <c r="B57" s="3">
        <f>Bitácora!B59</f>
        <v>0</v>
      </c>
      <c r="C57" s="3">
        <f>Bitácora!C59</f>
        <v>0</v>
      </c>
      <c r="D57" s="3">
        <f>Bitácora!K59</f>
        <v>0</v>
      </c>
      <c r="E57" s="3">
        <f>Bitácora!L59</f>
        <v>0</v>
      </c>
      <c r="F57" s="3">
        <f>Bitácora!Q59</f>
        <v>0</v>
      </c>
    </row>
    <row r="58" spans="1:6" hidden="1" x14ac:dyDescent="0.2">
      <c r="A58" s="6">
        <f>Bitácora!A60</f>
        <v>0</v>
      </c>
      <c r="B58" s="3">
        <f>Bitácora!B60</f>
        <v>0</v>
      </c>
      <c r="C58" s="3">
        <f>Bitácora!C60</f>
        <v>0</v>
      </c>
      <c r="D58" s="3">
        <f>Bitácora!K60</f>
        <v>0</v>
      </c>
      <c r="E58" s="3">
        <f>Bitácora!L60</f>
        <v>0</v>
      </c>
      <c r="F58" s="3">
        <f>Bitácora!Q60</f>
        <v>0</v>
      </c>
    </row>
    <row r="59" spans="1:6" hidden="1" x14ac:dyDescent="0.2">
      <c r="A59" s="6">
        <f>Bitácora!A61</f>
        <v>0</v>
      </c>
      <c r="B59" s="3">
        <f>Bitácora!B61</f>
        <v>0</v>
      </c>
      <c r="C59" s="3">
        <f>Bitácora!C61</f>
        <v>0</v>
      </c>
      <c r="D59" s="3">
        <f>Bitácora!K61</f>
        <v>0</v>
      </c>
      <c r="E59" s="3">
        <f>Bitácora!L61</f>
        <v>0</v>
      </c>
      <c r="F59" s="3">
        <f>Bitácora!Q61</f>
        <v>0</v>
      </c>
    </row>
    <row r="60" spans="1:6" hidden="1" x14ac:dyDescent="0.2">
      <c r="A60" s="6">
        <f>Bitácora!A62</f>
        <v>0</v>
      </c>
      <c r="B60" s="3">
        <f>Bitácora!B62</f>
        <v>0</v>
      </c>
      <c r="C60" s="3">
        <f>Bitácora!C62</f>
        <v>0</v>
      </c>
      <c r="D60" s="3">
        <f>Bitácora!K62</f>
        <v>0</v>
      </c>
      <c r="E60" s="3">
        <f>Bitácora!L62</f>
        <v>0</v>
      </c>
      <c r="F60" s="3">
        <f>Bitácora!Q62</f>
        <v>0</v>
      </c>
    </row>
    <row r="61" spans="1:6" hidden="1" x14ac:dyDescent="0.2">
      <c r="A61" s="6">
        <f>Bitácora!A63</f>
        <v>0</v>
      </c>
      <c r="B61" s="3">
        <f>Bitácora!B63</f>
        <v>0</v>
      </c>
      <c r="C61" s="3">
        <f>Bitácora!C63</f>
        <v>0</v>
      </c>
      <c r="D61" s="3">
        <f>Bitácora!K63</f>
        <v>0</v>
      </c>
      <c r="E61" s="3">
        <f>Bitácora!L63</f>
        <v>0</v>
      </c>
      <c r="F61" s="3">
        <f>Bitácora!Q63</f>
        <v>0</v>
      </c>
    </row>
    <row r="62" spans="1:6" hidden="1" x14ac:dyDescent="0.2">
      <c r="A62" s="6">
        <f>Bitácora!A64</f>
        <v>0</v>
      </c>
      <c r="B62" s="3">
        <f>Bitácora!B64</f>
        <v>0</v>
      </c>
      <c r="C62" s="3">
        <f>Bitácora!C64</f>
        <v>0</v>
      </c>
      <c r="D62" s="3">
        <f>Bitácora!K64</f>
        <v>0</v>
      </c>
      <c r="E62" s="3">
        <f>Bitácora!L64</f>
        <v>0</v>
      </c>
      <c r="F62" s="3">
        <f>Bitácora!Q64</f>
        <v>0</v>
      </c>
    </row>
    <row r="63" spans="1:6" hidden="1" x14ac:dyDescent="0.2">
      <c r="A63" s="6">
        <f>Bitácora!A65</f>
        <v>0</v>
      </c>
      <c r="B63" s="3">
        <f>Bitácora!B65</f>
        <v>0</v>
      </c>
      <c r="C63" s="3">
        <f>Bitácora!C65</f>
        <v>0</v>
      </c>
      <c r="D63" s="3">
        <f>Bitácora!K65</f>
        <v>0</v>
      </c>
      <c r="E63" s="3">
        <f>Bitácora!L65</f>
        <v>0</v>
      </c>
      <c r="F63" s="3">
        <f>Bitácora!Q65</f>
        <v>0</v>
      </c>
    </row>
    <row r="64" spans="1:6" hidden="1" x14ac:dyDescent="0.2">
      <c r="A64" s="6">
        <f>Bitácora!A66</f>
        <v>0</v>
      </c>
      <c r="B64" s="3">
        <f>Bitácora!B66</f>
        <v>0</v>
      </c>
      <c r="C64" s="3">
        <f>Bitácora!C66</f>
        <v>0</v>
      </c>
      <c r="D64" s="3">
        <f>Bitácora!K66</f>
        <v>0</v>
      </c>
      <c r="E64" s="3">
        <f>Bitácora!L66</f>
        <v>0</v>
      </c>
      <c r="F64" s="3">
        <f>Bitácora!Q66</f>
        <v>0</v>
      </c>
    </row>
    <row r="65" spans="1:6" hidden="1" x14ac:dyDescent="0.2">
      <c r="A65" s="6">
        <f>Bitácora!A67</f>
        <v>0</v>
      </c>
      <c r="B65" s="3">
        <f>Bitácora!B67</f>
        <v>0</v>
      </c>
      <c r="C65" s="3">
        <f>Bitácora!C67</f>
        <v>0</v>
      </c>
      <c r="D65" s="3">
        <f>Bitácora!K67</f>
        <v>0</v>
      </c>
      <c r="E65" s="3">
        <f>Bitácora!L67</f>
        <v>0</v>
      </c>
      <c r="F65" s="3">
        <f>Bitácora!Q67</f>
        <v>0</v>
      </c>
    </row>
    <row r="66" spans="1:6" hidden="1" x14ac:dyDescent="0.2">
      <c r="A66" s="6">
        <f>Bitácora!A68</f>
        <v>0</v>
      </c>
      <c r="B66" s="3">
        <f>Bitácora!B68</f>
        <v>0</v>
      </c>
      <c r="C66" s="3">
        <f>Bitácora!C68</f>
        <v>0</v>
      </c>
      <c r="D66" s="3">
        <f>Bitácora!K68</f>
        <v>0</v>
      </c>
      <c r="E66" s="3">
        <f>Bitácora!L68</f>
        <v>0</v>
      </c>
      <c r="F66" s="3">
        <f>Bitácora!Q68</f>
        <v>0</v>
      </c>
    </row>
    <row r="67" spans="1:6" hidden="1" x14ac:dyDescent="0.2">
      <c r="A67" s="6">
        <f>Bitácora!A69</f>
        <v>0</v>
      </c>
      <c r="B67" s="3">
        <f>Bitácora!B69</f>
        <v>0</v>
      </c>
      <c r="C67" s="3">
        <f>Bitácora!C69</f>
        <v>0</v>
      </c>
      <c r="D67" s="3">
        <f>Bitácora!K69</f>
        <v>0</v>
      </c>
      <c r="E67" s="3">
        <f>Bitácora!L69</f>
        <v>0</v>
      </c>
      <c r="F67" s="3">
        <f>Bitácora!Q69</f>
        <v>0</v>
      </c>
    </row>
    <row r="68" spans="1:6" hidden="1" x14ac:dyDescent="0.2">
      <c r="A68" s="6">
        <f>Bitácora!A70</f>
        <v>0</v>
      </c>
      <c r="B68" s="3">
        <f>Bitácora!B70</f>
        <v>0</v>
      </c>
      <c r="C68" s="3">
        <f>Bitácora!C70</f>
        <v>0</v>
      </c>
      <c r="D68" s="3">
        <f>Bitácora!K70</f>
        <v>0</v>
      </c>
      <c r="E68" s="3">
        <f>Bitácora!L70</f>
        <v>0</v>
      </c>
      <c r="F68" s="3">
        <f>Bitácora!Q70</f>
        <v>0</v>
      </c>
    </row>
    <row r="69" spans="1:6" hidden="1" x14ac:dyDescent="0.2">
      <c r="A69" s="6">
        <f>Bitácora!A71</f>
        <v>0</v>
      </c>
      <c r="B69" s="3">
        <f>Bitácora!B71</f>
        <v>0</v>
      </c>
      <c r="C69" s="3">
        <f>Bitácora!C71</f>
        <v>0</v>
      </c>
      <c r="D69" s="3">
        <f>Bitácora!K71</f>
        <v>0</v>
      </c>
      <c r="E69" s="3">
        <f>Bitácora!L71</f>
        <v>0</v>
      </c>
      <c r="F69" s="3">
        <f>Bitácora!Q71</f>
        <v>0</v>
      </c>
    </row>
    <row r="70" spans="1:6" hidden="1" x14ac:dyDescent="0.2">
      <c r="A70" s="6">
        <f>Bitácora!A72</f>
        <v>0</v>
      </c>
      <c r="B70" s="3">
        <f>Bitácora!B72</f>
        <v>0</v>
      </c>
      <c r="C70" s="3">
        <f>Bitácora!C72</f>
        <v>0</v>
      </c>
      <c r="D70" s="3">
        <f>Bitácora!K72</f>
        <v>0</v>
      </c>
      <c r="E70" s="3">
        <f>Bitácora!L72</f>
        <v>0</v>
      </c>
      <c r="F70" s="3">
        <f>Bitácora!Q72</f>
        <v>0</v>
      </c>
    </row>
    <row r="71" spans="1:6" hidden="1" x14ac:dyDescent="0.2">
      <c r="A71" s="6" t="e">
        <f>Bitácora!#REF!</f>
        <v>#REF!</v>
      </c>
      <c r="B71" s="3" t="e">
        <f>Bitácora!#REF!</f>
        <v>#REF!</v>
      </c>
      <c r="C71" s="3" t="e">
        <f>Bitácora!#REF!</f>
        <v>#REF!</v>
      </c>
      <c r="D71" s="3" t="e">
        <f>Bitácora!#REF!</f>
        <v>#REF!</v>
      </c>
      <c r="E71" s="3" t="e">
        <f>Bitácora!#REF!</f>
        <v>#REF!</v>
      </c>
      <c r="F71" s="3" t="e">
        <f>Bitácora!#REF!</f>
        <v>#REF!</v>
      </c>
    </row>
    <row r="72" spans="1:6" hidden="1" x14ac:dyDescent="0.2">
      <c r="A72" s="6" t="e">
        <f>Bitácora!#REF!</f>
        <v>#REF!</v>
      </c>
      <c r="B72" s="3" t="e">
        <f>Bitácora!#REF!</f>
        <v>#REF!</v>
      </c>
      <c r="C72" s="3" t="e">
        <f>Bitácora!#REF!</f>
        <v>#REF!</v>
      </c>
      <c r="D72" s="3" t="e">
        <f>Bitácora!#REF!</f>
        <v>#REF!</v>
      </c>
      <c r="E72" s="3" t="e">
        <f>Bitácora!#REF!</f>
        <v>#REF!</v>
      </c>
      <c r="F72" s="3" t="e">
        <f>Bitácora!#REF!</f>
        <v>#REF!</v>
      </c>
    </row>
    <row r="73" spans="1:6" hidden="1" x14ac:dyDescent="0.2">
      <c r="A73" s="6" t="e">
        <f>Bitácora!#REF!</f>
        <v>#REF!</v>
      </c>
      <c r="B73" s="3" t="e">
        <f>Bitácora!#REF!</f>
        <v>#REF!</v>
      </c>
      <c r="C73" s="3" t="e">
        <f>Bitácora!#REF!</f>
        <v>#REF!</v>
      </c>
      <c r="D73" s="3" t="e">
        <f>Bitácora!#REF!</f>
        <v>#REF!</v>
      </c>
      <c r="E73" s="3" t="e">
        <f>Bitácora!#REF!</f>
        <v>#REF!</v>
      </c>
      <c r="F73" s="3" t="e">
        <f>Bitácora!#REF!</f>
        <v>#REF!</v>
      </c>
    </row>
    <row r="74" spans="1:6" hidden="1" x14ac:dyDescent="0.2">
      <c r="A74" s="6" t="e">
        <f>Bitácora!#REF!</f>
        <v>#REF!</v>
      </c>
      <c r="B74" s="3" t="e">
        <f>Bitácora!#REF!</f>
        <v>#REF!</v>
      </c>
      <c r="C74" s="3" t="e">
        <f>Bitácora!#REF!</f>
        <v>#REF!</v>
      </c>
      <c r="D74" s="3" t="e">
        <f>Bitácora!#REF!</f>
        <v>#REF!</v>
      </c>
      <c r="E74" s="3" t="e">
        <f>Bitácora!#REF!</f>
        <v>#REF!</v>
      </c>
      <c r="F74" s="3" t="e">
        <f>Bitácora!#REF!</f>
        <v>#REF!</v>
      </c>
    </row>
    <row r="75" spans="1:6" hidden="1" x14ac:dyDescent="0.2">
      <c r="A75" s="6" t="e">
        <f>Bitácora!#REF!</f>
        <v>#REF!</v>
      </c>
      <c r="B75" s="3" t="e">
        <f>Bitácora!#REF!</f>
        <v>#REF!</v>
      </c>
      <c r="C75" s="3" t="e">
        <f>Bitácora!#REF!</f>
        <v>#REF!</v>
      </c>
      <c r="D75" s="3" t="e">
        <f>Bitácora!#REF!</f>
        <v>#REF!</v>
      </c>
      <c r="E75" s="3" t="e">
        <f>Bitácora!#REF!</f>
        <v>#REF!</v>
      </c>
      <c r="F75" s="3" t="e">
        <f>Bitácora!#REF!</f>
        <v>#REF!</v>
      </c>
    </row>
    <row r="76" spans="1:6" hidden="1" x14ac:dyDescent="0.2">
      <c r="A76" s="6" t="e">
        <f>Bitácora!#REF!</f>
        <v>#REF!</v>
      </c>
      <c r="B76" s="3" t="e">
        <f>Bitácora!#REF!</f>
        <v>#REF!</v>
      </c>
      <c r="C76" s="3" t="e">
        <f>Bitácora!#REF!</f>
        <v>#REF!</v>
      </c>
      <c r="D76" s="3" t="e">
        <f>Bitácora!#REF!</f>
        <v>#REF!</v>
      </c>
      <c r="E76" s="3" t="e">
        <f>Bitácora!#REF!</f>
        <v>#REF!</v>
      </c>
      <c r="F76" s="3" t="e">
        <f>Bitácora!#REF!</f>
        <v>#REF!</v>
      </c>
    </row>
    <row r="77" spans="1:6" hidden="1" x14ac:dyDescent="0.2">
      <c r="A77" s="6" t="e">
        <f>Bitácora!#REF!</f>
        <v>#REF!</v>
      </c>
      <c r="B77" s="3" t="e">
        <f>Bitácora!#REF!</f>
        <v>#REF!</v>
      </c>
      <c r="C77" s="3" t="e">
        <f>Bitácora!#REF!</f>
        <v>#REF!</v>
      </c>
      <c r="D77" s="3" t="e">
        <f>Bitácora!#REF!</f>
        <v>#REF!</v>
      </c>
      <c r="E77" s="3" t="e">
        <f>Bitácora!#REF!</f>
        <v>#REF!</v>
      </c>
      <c r="F77" s="3" t="e">
        <f>Bitácora!#REF!</f>
        <v>#REF!</v>
      </c>
    </row>
    <row r="78" spans="1:6" hidden="1" x14ac:dyDescent="0.2">
      <c r="A78" s="6" t="e">
        <f>Bitácora!#REF!</f>
        <v>#REF!</v>
      </c>
      <c r="B78" s="3" t="e">
        <f>Bitácora!#REF!</f>
        <v>#REF!</v>
      </c>
      <c r="C78" s="3" t="e">
        <f>Bitácora!#REF!</f>
        <v>#REF!</v>
      </c>
      <c r="D78" s="3" t="e">
        <f>Bitácora!#REF!</f>
        <v>#REF!</v>
      </c>
      <c r="E78" s="3" t="e">
        <f>Bitácora!#REF!</f>
        <v>#REF!</v>
      </c>
      <c r="F78" s="3" t="e">
        <f>Bitácora!#REF!</f>
        <v>#REF!</v>
      </c>
    </row>
    <row r="79" spans="1:6" hidden="1" x14ac:dyDescent="0.2">
      <c r="A79" s="6" t="e">
        <f>Bitácora!#REF!</f>
        <v>#REF!</v>
      </c>
      <c r="B79" s="3" t="e">
        <f>Bitácora!#REF!</f>
        <v>#REF!</v>
      </c>
      <c r="C79" s="3" t="e">
        <f>Bitácora!#REF!</f>
        <v>#REF!</v>
      </c>
      <c r="D79" s="3" t="e">
        <f>Bitácora!#REF!</f>
        <v>#REF!</v>
      </c>
      <c r="E79" s="3" t="e">
        <f>Bitácora!#REF!</f>
        <v>#REF!</v>
      </c>
      <c r="F79" s="3" t="e">
        <f>Bitácora!#REF!</f>
        <v>#REF!</v>
      </c>
    </row>
    <row r="82" spans="3:4" x14ac:dyDescent="0.2">
      <c r="C82" s="29" t="s">
        <v>49</v>
      </c>
      <c r="D82" s="29"/>
    </row>
  </sheetData>
  <autoFilter ref="A2:F79" xr:uid="{00000000-0009-0000-0000-000004000000}">
    <filterColumn colId="3">
      <filters>
        <filter val="25Ficus elastica MP#1 dec"/>
      </filters>
    </filterColumn>
  </autoFilter>
  <mergeCells count="2">
    <mergeCell ref="A1:F1"/>
    <mergeCell ref="C82:D8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topLeftCell="B7" workbookViewId="0">
      <selection activeCell="E13" sqref="E13"/>
    </sheetView>
  </sheetViews>
  <sheetFormatPr defaultColWidth="10.76171875" defaultRowHeight="34.5" customHeight="1" x14ac:dyDescent="0.2"/>
  <cols>
    <col min="1" max="1" width="11.1640625" bestFit="1" customWidth="1"/>
    <col min="2" max="2" width="37.125" customWidth="1"/>
    <col min="3" max="3" width="19.234375" bestFit="1" customWidth="1"/>
    <col min="7" max="7" width="13.5859375" bestFit="1" customWidth="1"/>
    <col min="8" max="8" width="28.515625" customWidth="1"/>
    <col min="11" max="11" width="12.64453125" bestFit="1" customWidth="1"/>
  </cols>
  <sheetData>
    <row r="1" spans="1:10" ht="34.5" customHeight="1" x14ac:dyDescent="0.2">
      <c r="A1" s="19" t="s">
        <v>48</v>
      </c>
      <c r="B1" s="19"/>
    </row>
    <row r="2" spans="1:10" ht="34.5" customHeight="1" x14ac:dyDescent="0.2">
      <c r="A2" s="15" t="s">
        <v>35</v>
      </c>
      <c r="B2" s="15" t="s">
        <v>44</v>
      </c>
    </row>
    <row r="3" spans="1:10" ht="34.5" customHeight="1" x14ac:dyDescent="0.2">
      <c r="A3" s="17">
        <v>4</v>
      </c>
      <c r="B3" s="17">
        <v>400</v>
      </c>
    </row>
    <row r="4" spans="1:10" ht="34.5" customHeight="1" x14ac:dyDescent="0.2">
      <c r="A4" s="17">
        <v>5</v>
      </c>
      <c r="B4" s="17">
        <v>950</v>
      </c>
      <c r="G4" s="30"/>
      <c r="H4" s="30"/>
      <c r="I4" s="30"/>
      <c r="J4" s="30"/>
    </row>
    <row r="5" spans="1:10" ht="34.5" customHeight="1" x14ac:dyDescent="0.2">
      <c r="A5" s="17">
        <v>6</v>
      </c>
      <c r="B5" s="17">
        <v>1230</v>
      </c>
      <c r="I5" s="13"/>
    </row>
    <row r="6" spans="1:10" ht="34.5" customHeight="1" x14ac:dyDescent="0.2">
      <c r="A6" s="17" t="s">
        <v>36</v>
      </c>
      <c r="B6" s="17">
        <v>10480</v>
      </c>
      <c r="G6" s="30"/>
      <c r="J6" s="29"/>
    </row>
    <row r="7" spans="1:10" ht="34.5" customHeight="1" x14ac:dyDescent="0.2">
      <c r="A7" s="26" t="s">
        <v>47</v>
      </c>
      <c r="B7" s="26"/>
      <c r="G7" s="30"/>
      <c r="J7" s="29"/>
    </row>
    <row r="8" spans="1:10" ht="34.5" customHeight="1" x14ac:dyDescent="0.2">
      <c r="A8" s="17">
        <v>1</v>
      </c>
      <c r="B8" s="17">
        <v>5000</v>
      </c>
      <c r="G8" s="30"/>
      <c r="J8" s="29"/>
    </row>
    <row r="9" spans="1:10" ht="34.5" customHeight="1" x14ac:dyDescent="0.2">
      <c r="A9" s="17">
        <v>2</v>
      </c>
      <c r="B9" s="17">
        <v>6500</v>
      </c>
      <c r="G9" s="30"/>
      <c r="J9" s="29"/>
    </row>
    <row r="10" spans="1:10" ht="34.5" customHeight="1" x14ac:dyDescent="0.2">
      <c r="A10" s="17">
        <v>3</v>
      </c>
      <c r="B10" s="17">
        <v>11300</v>
      </c>
      <c r="G10" s="30"/>
      <c r="J10" s="29"/>
    </row>
    <row r="11" spans="1:10" ht="34.5" customHeight="1" x14ac:dyDescent="0.2">
      <c r="A11" s="17">
        <v>4</v>
      </c>
      <c r="B11" s="17">
        <v>15600</v>
      </c>
      <c r="G11" s="30"/>
      <c r="J11" s="29"/>
    </row>
    <row r="12" spans="1:10" ht="34.5" customHeight="1" x14ac:dyDescent="0.2">
      <c r="A12" s="17" t="s">
        <v>41</v>
      </c>
      <c r="B12" s="17">
        <v>18560</v>
      </c>
      <c r="G12" s="30"/>
      <c r="J12" s="29"/>
    </row>
    <row r="13" spans="1:10" ht="34.5" customHeight="1" x14ac:dyDescent="0.2">
      <c r="A13" s="26" t="s">
        <v>37</v>
      </c>
      <c r="B13" s="26"/>
      <c r="G13" s="30"/>
      <c r="J13" s="29"/>
    </row>
    <row r="14" spans="1:10" ht="34.5" customHeight="1" x14ac:dyDescent="0.2">
      <c r="A14" s="17" t="s">
        <v>38</v>
      </c>
      <c r="B14" s="17">
        <v>2000</v>
      </c>
      <c r="G14" s="30"/>
      <c r="H14" s="13"/>
      <c r="J14" s="29"/>
    </row>
    <row r="15" spans="1:10" ht="34.5" customHeight="1" x14ac:dyDescent="0.2">
      <c r="A15" s="17" t="s">
        <v>39</v>
      </c>
      <c r="B15" s="17">
        <v>6246</v>
      </c>
    </row>
    <row r="16" spans="1:10" ht="34.5" customHeight="1" x14ac:dyDescent="0.2">
      <c r="A16" s="17" t="s">
        <v>40</v>
      </c>
      <c r="B16" s="17">
        <v>15000</v>
      </c>
    </row>
    <row r="17" spans="1:12" ht="34.5" customHeight="1" x14ac:dyDescent="0.2">
      <c r="A17" s="17" t="s">
        <v>42</v>
      </c>
      <c r="B17" s="17">
        <v>15000</v>
      </c>
    </row>
    <row r="18" spans="1:12" ht="34.5" customHeight="1" x14ac:dyDescent="0.2">
      <c r="A18" s="17" t="s">
        <v>43</v>
      </c>
      <c r="B18" s="17" t="s">
        <v>46</v>
      </c>
      <c r="H18" s="13"/>
    </row>
    <row r="19" spans="1:12" ht="34.5" customHeight="1" x14ac:dyDescent="0.2">
      <c r="A19" s="17" t="s">
        <v>34</v>
      </c>
      <c r="B19" s="17">
        <v>6000</v>
      </c>
      <c r="H19" s="13"/>
    </row>
    <row r="20" spans="1:12" ht="34.5" customHeight="1" x14ac:dyDescent="0.2">
      <c r="A20" s="17" t="s">
        <v>45</v>
      </c>
      <c r="B20" s="17">
        <v>2500</v>
      </c>
      <c r="H20" s="13"/>
    </row>
    <row r="21" spans="1:12" ht="15" x14ac:dyDescent="0.2"/>
    <row r="22" spans="1:12" ht="15" x14ac:dyDescent="0.2"/>
    <row r="23" spans="1:12" ht="15" x14ac:dyDescent="0.2"/>
    <row r="24" spans="1:12" ht="15" x14ac:dyDescent="0.2"/>
    <row r="25" spans="1:12" ht="15" x14ac:dyDescent="0.2"/>
    <row r="26" spans="1:12" ht="15" x14ac:dyDescent="0.2"/>
    <row r="27" spans="1:12" ht="15" x14ac:dyDescent="0.2"/>
    <row r="28" spans="1:12" ht="15" x14ac:dyDescent="0.2"/>
    <row r="29" spans="1:12" ht="15" x14ac:dyDescent="0.2"/>
    <row r="30" spans="1:12" ht="15" x14ac:dyDescent="0.2">
      <c r="L30" s="16"/>
    </row>
    <row r="31" spans="1:12" ht="15" x14ac:dyDescent="0.2"/>
  </sheetData>
  <mergeCells count="10">
    <mergeCell ref="J6:J8"/>
    <mergeCell ref="J9:J10"/>
    <mergeCell ref="J11:J14"/>
    <mergeCell ref="G4:J4"/>
    <mergeCell ref="A1:B1"/>
    <mergeCell ref="A7:B7"/>
    <mergeCell ref="A13:B13"/>
    <mergeCell ref="G6:G8"/>
    <mergeCell ref="G9:G10"/>
    <mergeCell ref="G11:G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Bitácora</vt:lpstr>
      <vt:lpstr>Producción</vt:lpstr>
      <vt:lpstr>Descargo</vt:lpstr>
      <vt:lpstr>Cambio de presentación</vt:lpstr>
      <vt:lpstr>Campo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DURALITA</cp:lastModifiedBy>
  <cp:lastPrinted>2025-07-28T21:38:30Z</cp:lastPrinted>
  <dcterms:created xsi:type="dcterms:W3CDTF">2019-10-28T20:13:26Z</dcterms:created>
  <dcterms:modified xsi:type="dcterms:W3CDTF">2025-07-29T02:37:49Z</dcterms:modified>
</cp:coreProperties>
</file>